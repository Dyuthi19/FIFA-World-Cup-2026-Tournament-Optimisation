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uthibopparaju/Library/Mobile Documents/com~apple~CloudDocs/MSBA/Semester 2/Advanced Analytics-Models&amp;Applications/Assignment/group_number_20/"/>
    </mc:Choice>
  </mc:AlternateContent>
  <xr:revisionPtr revIDLastSave="0" documentId="13_ncr:1_{2C063E78-109C-6341-BF91-96F6AD066D24}" xr6:coauthVersionLast="47" xr6:coauthVersionMax="47" xr10:uidLastSave="{00000000-0000-0000-0000-000000000000}"/>
  <bookViews>
    <workbookView xWindow="0" yWindow="660" windowWidth="29400" windowHeight="16660" firstSheet="3" activeTab="7" xr2:uid="{34CA3627-B41E-C74A-AF0D-288BD5EFF449}"/>
  </bookViews>
  <sheets>
    <sheet name="Teams(Raw)" sheetId="1" r:id="rId1"/>
    <sheet name="Teams" sheetId="2" r:id="rId2"/>
    <sheet name="Stadiums" sheetId="3" r:id="rId3"/>
    <sheet name="gi value calculation" sheetId="6" r:id="rId4"/>
    <sheet name="Prototype_schedule(Table-2)" sheetId="10" r:id="rId5"/>
    <sheet name="Spectator Index(Table-3)" sheetId="14" r:id="rId6"/>
    <sheet name="Group Formation(Table-4)" sheetId="8" r:id="rId7"/>
    <sheet name="Group_letter_assignment" sheetId="12" r:id="rId8"/>
    <sheet name="original schedule" sheetId="15" r:id="rId9"/>
    <sheet name="Group_schedule(Table-5)" sheetId="11" r:id="rId10"/>
    <sheet name="Sheet1" sheetId="16" r:id="rId11"/>
  </sheets>
  <definedNames>
    <definedName name="_xlnm._FilterDatabase" localSheetId="2" hidden="1">Stadiums!$C$2:$F$48</definedName>
    <definedName name="_xlnm._FilterDatabase" localSheetId="1" hidden="1">Teams!$B$2:$N$50</definedName>
    <definedName name="_xlnm._FilterDatabase" localSheetId="0" hidden="1">'Teams(Raw)'!$C$2:$D$50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4" i="3"/>
  <c r="J3" i="3"/>
  <c r="I16" i="8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X7" i="11" l="1"/>
  <c r="X52" i="11"/>
  <c r="X49" i="11"/>
  <c r="X46" i="11"/>
  <c r="X43" i="11"/>
  <c r="X40" i="11"/>
  <c r="X37" i="11"/>
  <c r="X34" i="11"/>
  <c r="X31" i="11"/>
  <c r="X28" i="11"/>
  <c r="X25" i="11"/>
  <c r="X22" i="11"/>
  <c r="X19" i="11"/>
  <c r="X16" i="11"/>
  <c r="X13" i="11"/>
  <c r="X10" i="11"/>
  <c r="L48" i="2" l="1"/>
  <c r="L45" i="2"/>
  <c r="L44" i="2"/>
  <c r="L43" i="2"/>
  <c r="L41" i="2"/>
  <c r="L39" i="2"/>
  <c r="L38" i="2"/>
  <c r="L37" i="2"/>
  <c r="L32" i="2"/>
  <c r="L31" i="2"/>
  <c r="L30" i="2"/>
  <c r="L29" i="2"/>
  <c r="L27" i="2"/>
  <c r="L24" i="2"/>
  <c r="L22" i="2"/>
  <c r="L21" i="2"/>
  <c r="L20" i="2"/>
  <c r="L19" i="2"/>
  <c r="L17" i="2"/>
  <c r="L15" i="2"/>
  <c r="L13" i="2"/>
  <c r="L10" i="2"/>
  <c r="L8" i="2"/>
  <c r="L7" i="2"/>
  <c r="L5" i="2"/>
  <c r="L4" i="2"/>
  <c r="J50" i="2"/>
  <c r="K50" i="2" s="1"/>
  <c r="J21" i="2"/>
  <c r="J8" i="2"/>
  <c r="J4" i="2"/>
  <c r="J5" i="2"/>
  <c r="J6" i="2"/>
  <c r="K6" i="2" s="1"/>
  <c r="J7" i="2"/>
  <c r="J9" i="2"/>
  <c r="K9" i="2" s="1"/>
  <c r="J10" i="2"/>
  <c r="J11" i="2"/>
  <c r="K11" i="2" s="1"/>
  <c r="J12" i="2"/>
  <c r="K12" i="2" s="1"/>
  <c r="J13" i="2"/>
  <c r="J14" i="2"/>
  <c r="K14" i="2" s="1"/>
  <c r="J15" i="2"/>
  <c r="J16" i="2"/>
  <c r="K16" i="2" s="1"/>
  <c r="J17" i="2"/>
  <c r="J18" i="2"/>
  <c r="K18" i="2" s="1"/>
  <c r="J19" i="2"/>
  <c r="J20" i="2"/>
  <c r="J22" i="2"/>
  <c r="J23" i="2"/>
  <c r="K23" i="2" s="1"/>
  <c r="J24" i="2"/>
  <c r="J25" i="2"/>
  <c r="K25" i="2" s="1"/>
  <c r="J26" i="2"/>
  <c r="K26" i="2" s="1"/>
  <c r="J27" i="2"/>
  <c r="J28" i="2"/>
  <c r="K28" i="2" s="1"/>
  <c r="J29" i="2"/>
  <c r="J30" i="2"/>
  <c r="J31" i="2"/>
  <c r="J32" i="2"/>
  <c r="J33" i="2"/>
  <c r="K33" i="2" s="1"/>
  <c r="J34" i="2"/>
  <c r="K34" i="2" s="1"/>
  <c r="J35" i="2"/>
  <c r="K35" i="2" s="1"/>
  <c r="J36" i="2"/>
  <c r="K36" i="2" s="1"/>
  <c r="J37" i="2"/>
  <c r="J38" i="2"/>
  <c r="J39" i="2"/>
  <c r="J40" i="2"/>
  <c r="K40" i="2" s="1"/>
  <c r="J41" i="2"/>
  <c r="J42" i="2"/>
  <c r="K42" i="2" s="1"/>
  <c r="J43" i="2"/>
  <c r="J44" i="2"/>
  <c r="J45" i="2"/>
  <c r="J46" i="2"/>
  <c r="K46" i="2" s="1"/>
  <c r="J47" i="2"/>
  <c r="K47" i="2" s="1"/>
  <c r="J48" i="2"/>
  <c r="J49" i="2"/>
  <c r="K49" i="2" s="1"/>
  <c r="J3" i="2"/>
  <c r="K3" i="2" s="1"/>
  <c r="M4" i="2"/>
  <c r="M5" i="2"/>
  <c r="M6" i="2"/>
  <c r="N6" i="2" s="1"/>
  <c r="M7" i="2"/>
  <c r="M8" i="2"/>
  <c r="M9" i="2"/>
  <c r="N9" i="2" s="1"/>
  <c r="M10" i="2"/>
  <c r="M11" i="2"/>
  <c r="N11" i="2" s="1"/>
  <c r="M12" i="2"/>
  <c r="N12" i="2" s="1"/>
  <c r="M13" i="2"/>
  <c r="M14" i="2"/>
  <c r="N14" i="2" s="1"/>
  <c r="M15" i="2"/>
  <c r="M16" i="2"/>
  <c r="M17" i="2"/>
  <c r="N17" i="2" s="1"/>
  <c r="M18" i="2"/>
  <c r="N18" i="2" s="1"/>
  <c r="M19" i="2"/>
  <c r="N19" i="2" s="1"/>
  <c r="M20" i="2"/>
  <c r="N20" i="2" s="1"/>
  <c r="M21" i="2"/>
  <c r="M22" i="2"/>
  <c r="M23" i="2"/>
  <c r="M24" i="2"/>
  <c r="M25" i="2"/>
  <c r="N25" i="2" s="1"/>
  <c r="M26" i="2"/>
  <c r="N26" i="2" s="1"/>
  <c r="M27" i="2"/>
  <c r="N27" i="2" s="1"/>
  <c r="M28" i="2"/>
  <c r="M29" i="2"/>
  <c r="M30" i="2"/>
  <c r="M31" i="2"/>
  <c r="N31" i="2" s="1"/>
  <c r="M32" i="2"/>
  <c r="M33" i="2"/>
  <c r="N33" i="2" s="1"/>
  <c r="M34" i="2"/>
  <c r="N34" i="2" s="1"/>
  <c r="M35" i="2"/>
  <c r="N35" i="2" s="1"/>
  <c r="M36" i="2"/>
  <c r="N36" i="2" s="1"/>
  <c r="M37" i="2"/>
  <c r="M38" i="2"/>
  <c r="M39" i="2"/>
  <c r="M40" i="2"/>
  <c r="N40" i="2" s="1"/>
  <c r="M41" i="2"/>
  <c r="M42" i="2"/>
  <c r="N42" i="2" s="1"/>
  <c r="M43" i="2"/>
  <c r="M44" i="2"/>
  <c r="M45" i="2"/>
  <c r="M46" i="2"/>
  <c r="N46" i="2" s="1"/>
  <c r="M47" i="2"/>
  <c r="N47" i="2" s="1"/>
  <c r="M48" i="2"/>
  <c r="N48" i="2" s="1"/>
  <c r="M49" i="2"/>
  <c r="N49" i="2" s="1"/>
  <c r="M50" i="2"/>
  <c r="N50" i="2" s="1"/>
  <c r="M3" i="2"/>
  <c r="N3" i="2" s="1"/>
  <c r="N32" i="2"/>
  <c r="N16" i="2"/>
  <c r="N23" i="2"/>
  <c r="N28" i="2"/>
  <c r="N21" i="2" l="1"/>
  <c r="N37" i="2"/>
  <c r="N41" i="2"/>
  <c r="N15" i="2"/>
  <c r="J5" i="3"/>
  <c r="N44" i="2"/>
  <c r="N13" i="2"/>
  <c r="N29" i="2"/>
  <c r="N4" i="2"/>
  <c r="N45" i="2"/>
  <c r="N30" i="2"/>
  <c r="N5" i="2"/>
  <c r="N43" i="2"/>
  <c r="N24" i="2"/>
  <c r="N39" i="2"/>
  <c r="N38" i="2"/>
  <c r="N8" i="2"/>
  <c r="N10" i="2"/>
  <c r="N7" i="2"/>
  <c r="N22" i="2"/>
</calcChain>
</file>

<file path=xl/sharedStrings.xml><?xml version="1.0" encoding="utf-8"?>
<sst xmlns="http://schemas.openxmlformats.org/spreadsheetml/2006/main" count="1170" uniqueCount="352">
  <si>
    <t>Confederation</t>
  </si>
  <si>
    <t>Mexico</t>
  </si>
  <si>
    <t>CONCACAF</t>
  </si>
  <si>
    <t>South Africa</t>
  </si>
  <si>
    <t>CAF</t>
  </si>
  <si>
    <t>AFC</t>
  </si>
  <si>
    <t>UEFA</t>
  </si>
  <si>
    <t>Canada</t>
  </si>
  <si>
    <t>Qatar</t>
  </si>
  <si>
    <t>Switzerland</t>
  </si>
  <si>
    <t>Brazil</t>
  </si>
  <si>
    <t>CONMEBOL</t>
  </si>
  <si>
    <t>Morocco</t>
  </si>
  <si>
    <t>Haiti</t>
  </si>
  <si>
    <t>Scotland</t>
  </si>
  <si>
    <t>United States</t>
  </si>
  <si>
    <t>Paraguay</t>
  </si>
  <si>
    <t>Australia</t>
  </si>
  <si>
    <t>Germany</t>
  </si>
  <si>
    <t>Curaçao</t>
  </si>
  <si>
    <t>Ecuador</t>
  </si>
  <si>
    <t>Netherlands</t>
  </si>
  <si>
    <t>Japan</t>
  </si>
  <si>
    <t>Tunisia</t>
  </si>
  <si>
    <t>Belgium</t>
  </si>
  <si>
    <t>Egypt</t>
  </si>
  <si>
    <t>Iran</t>
  </si>
  <si>
    <t>New Zealand</t>
  </si>
  <si>
    <t>Spain</t>
  </si>
  <si>
    <t>Saudi Arabia</t>
  </si>
  <si>
    <t>Uruguay</t>
  </si>
  <si>
    <t>France</t>
  </si>
  <si>
    <t>Senegal</t>
  </si>
  <si>
    <t>Norway</t>
  </si>
  <si>
    <t>Argentina</t>
  </si>
  <si>
    <t>Algeria</t>
  </si>
  <si>
    <t>Austria</t>
  </si>
  <si>
    <t>Jordan</t>
  </si>
  <si>
    <t>Portugal</t>
  </si>
  <si>
    <t>Uzbekistan</t>
  </si>
  <si>
    <t>Colombia</t>
  </si>
  <si>
    <t>England</t>
  </si>
  <si>
    <t>Croatia</t>
  </si>
  <si>
    <t>Ghana</t>
  </si>
  <si>
    <t>Panama</t>
  </si>
  <si>
    <t>Participating Nation</t>
  </si>
  <si>
    <t>Korea Republic</t>
  </si>
  <si>
    <t>Cabo Verde</t>
  </si>
  <si>
    <t>Côte d'Ivoire</t>
  </si>
  <si>
    <t>OFC</t>
  </si>
  <si>
    <t>DR Congo</t>
  </si>
  <si>
    <t>Iraq</t>
  </si>
  <si>
    <t>Ukraine</t>
  </si>
  <si>
    <t>Turkey</t>
  </si>
  <si>
    <t>Denmark</t>
  </si>
  <si>
    <t>Italy</t>
  </si>
  <si>
    <t>FIFA Points</t>
  </si>
  <si>
    <t>Code</t>
  </si>
  <si>
    <t>ESP</t>
  </si>
  <si>
    <t>ARG</t>
  </si>
  <si>
    <t>FRA</t>
  </si>
  <si>
    <t>ENG</t>
  </si>
  <si>
    <t>BRA</t>
  </si>
  <si>
    <t>POR</t>
  </si>
  <si>
    <t>NED</t>
  </si>
  <si>
    <t>MAR</t>
  </si>
  <si>
    <t>BEL</t>
  </si>
  <si>
    <t>GER</t>
  </si>
  <si>
    <t>CRO</t>
  </si>
  <si>
    <t>SEN</t>
  </si>
  <si>
    <t>ITA</t>
  </si>
  <si>
    <t>COL</t>
  </si>
  <si>
    <t>USA</t>
  </si>
  <si>
    <t>MEX</t>
  </si>
  <si>
    <t>URU</t>
  </si>
  <si>
    <t>SUI</t>
  </si>
  <si>
    <t>JPN</t>
  </si>
  <si>
    <t>IRN</t>
  </si>
  <si>
    <t>DEN</t>
  </si>
  <si>
    <t>KOR</t>
  </si>
  <si>
    <t>ECU</t>
  </si>
  <si>
    <t>AUT</t>
  </si>
  <si>
    <t>TUR</t>
  </si>
  <si>
    <t>AUS</t>
  </si>
  <si>
    <t>ALG</t>
  </si>
  <si>
    <t>CAN</t>
  </si>
  <si>
    <t>UKR</t>
  </si>
  <si>
    <t>EGY</t>
  </si>
  <si>
    <t>NOR</t>
  </si>
  <si>
    <t>PAN</t>
  </si>
  <si>
    <t>CIV</t>
  </si>
  <si>
    <t>SCO</t>
  </si>
  <si>
    <t>PAR</t>
  </si>
  <si>
    <t>TUN</t>
  </si>
  <si>
    <t>COD</t>
  </si>
  <si>
    <t>UZB</t>
  </si>
  <si>
    <t>QAT</t>
  </si>
  <si>
    <t>IRQ</t>
  </si>
  <si>
    <t>RSA</t>
  </si>
  <si>
    <t>KSA</t>
  </si>
  <si>
    <t>JOR</t>
  </si>
  <si>
    <t>CPV</t>
  </si>
  <si>
    <t>GHA</t>
  </si>
  <si>
    <t>CUW</t>
  </si>
  <si>
    <t>HAI</t>
  </si>
  <si>
    <t>NZL</t>
  </si>
  <si>
    <t>Rank</t>
  </si>
  <si>
    <t>Stadium</t>
  </si>
  <si>
    <t>Capacity</t>
  </si>
  <si>
    <t>Country</t>
  </si>
  <si>
    <t>BC Place Vancouver</t>
  </si>
  <si>
    <t>Toronto Stadium</t>
  </si>
  <si>
    <t>Mexico City Stadium</t>
  </si>
  <si>
    <t>Guadalajara Stadium</t>
  </si>
  <si>
    <t>Monterrey Stadium</t>
  </si>
  <si>
    <t>Atlanta Stadium</t>
  </si>
  <si>
    <t>Boston Stadium</t>
  </si>
  <si>
    <t>Dallas Stadium</t>
  </si>
  <si>
    <t>Houston Stadium</t>
  </si>
  <si>
    <t>Kansas City Stadium</t>
  </si>
  <si>
    <t>Los Angeles Stadium</t>
  </si>
  <si>
    <t>Miami Stadium</t>
  </si>
  <si>
    <t>New York New Jersey Stadium</t>
  </si>
  <si>
    <t>Philadelphia Stadium</t>
  </si>
  <si>
    <t>San Francisco Bay Area Stadium</t>
  </si>
  <si>
    <t>Seattle Stadium</t>
  </si>
  <si>
    <t>Spectator Index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</si>
  <si>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</si>
  <si>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</si>
  <si>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</si>
  <si>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</si>
  <si>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</si>
  <si>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</si>
  <si>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</si>
  <si>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</si>
  <si>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</si>
  <si>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</si>
  <si>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</si>
  <si>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</si>
  <si>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GDP Per Capita</t>
  </si>
  <si>
    <t>Team</t>
  </si>
  <si>
    <t>Average Attendance</t>
  </si>
  <si>
    <t>Poland</t>
  </si>
  <si>
    <t>Cameroon</t>
  </si>
  <si>
    <t>Serbia</t>
  </si>
  <si>
    <t>Wales</t>
  </si>
  <si>
    <t>Costa Rica</t>
  </si>
  <si>
    <t>-</t>
  </si>
  <si>
    <t>Scaled gi 2026</t>
  </si>
  <si>
    <t>Final gi value</t>
  </si>
  <si>
    <t>S value</t>
  </si>
  <si>
    <t>Reference Country</t>
  </si>
  <si>
    <t>Subsets</t>
  </si>
  <si>
    <t>Teams</t>
  </si>
  <si>
    <t>Subset Points</t>
  </si>
  <si>
    <t>Optimal</t>
  </si>
  <si>
    <t>Actual</t>
  </si>
  <si>
    <t>Year</t>
  </si>
  <si>
    <t>Initial gi</t>
  </si>
  <si>
    <t>Lusail Stadium</t>
  </si>
  <si>
    <t>Al Bayt Stadium</t>
  </si>
  <si>
    <t>Education City Stadium</t>
  </si>
  <si>
    <t>Khalifa Int Stadium</t>
  </si>
  <si>
    <t>Stadium 974</t>
  </si>
  <si>
    <t>Al Janoub Stadium</t>
  </si>
  <si>
    <t>Ahmad Bin Ali Stadium</t>
  </si>
  <si>
    <t>Al Thumama Stadium</t>
  </si>
  <si>
    <t>Avg_capacity_2026</t>
  </si>
  <si>
    <t>Avg_capacity_2022</t>
  </si>
  <si>
    <t>Scaling_factor</t>
  </si>
  <si>
    <t>Rounded off</t>
  </si>
  <si>
    <t>Day</t>
  </si>
  <si>
    <t>Groups</t>
  </si>
  <si>
    <t>Row</t>
  </si>
  <si>
    <t>Rowset Popularity</t>
  </si>
  <si>
    <t>Nation</t>
  </si>
  <si>
    <t>Confedaration</t>
  </si>
  <si>
    <t>Specctator Index</t>
  </si>
  <si>
    <t>Stadium Name</t>
  </si>
  <si>
    <t>Match Details (Nations)</t>
  </si>
  <si>
    <t>Mexico City</t>
  </si>
  <si>
    <t>Guadalajara</t>
  </si>
  <si>
    <t>Toronto</t>
  </si>
  <si>
    <t>Los Angeles</t>
  </si>
  <si>
    <t>Miami</t>
  </si>
  <si>
    <t>Seattle</t>
  </si>
  <si>
    <t>Vancouver</t>
  </si>
  <si>
    <t>Boston</t>
  </si>
  <si>
    <t>Houston</t>
  </si>
  <si>
    <t>Dallas</t>
  </si>
  <si>
    <t>Monterrey</t>
  </si>
  <si>
    <t>San Francisco Bay Area</t>
  </si>
  <si>
    <t>New York New Jersey</t>
  </si>
  <si>
    <t>Philadelphia</t>
  </si>
  <si>
    <t>Atlanta</t>
  </si>
  <si>
    <t>Kansas City</t>
  </si>
  <si>
    <t>C2 v C3</t>
  </si>
  <si>
    <t>Match Name</t>
  </si>
  <si>
    <t>L1 VS L2</t>
  </si>
  <si>
    <t>B1 VS B2</t>
  </si>
  <si>
    <t>E1 VS E3</t>
  </si>
  <si>
    <t>L1 VS L3</t>
  </si>
  <si>
    <t>C1 VS C2</t>
  </si>
  <si>
    <t>F1 VS F3</t>
  </si>
  <si>
    <t>A3 VS A4</t>
  </si>
  <si>
    <t>G3 VS G4</t>
  </si>
  <si>
    <t>A1 VS A3</t>
  </si>
  <si>
    <t>K1 VS K3</t>
  </si>
  <si>
    <t>H2 VS H3</t>
  </si>
  <si>
    <t>A1 VS A2</t>
  </si>
  <si>
    <t>G1 VS G2</t>
  </si>
  <si>
    <t>K3 VS K4</t>
  </si>
  <si>
    <t>A2 VS A4</t>
  </si>
  <si>
    <t>F1 VS F2</t>
  </si>
  <si>
    <t>I1 VS I2</t>
  </si>
  <si>
    <t>B1 VS B3</t>
  </si>
  <si>
    <t>I1 VS I4</t>
  </si>
  <si>
    <t>A2 VS A3</t>
  </si>
  <si>
    <t>J1 VS J3</t>
  </si>
  <si>
    <t>C2 VS C3</t>
  </si>
  <si>
    <t>L1 VS L4</t>
  </si>
  <si>
    <t>B3 VS B4</t>
  </si>
  <si>
    <t>G1 VS G3</t>
  </si>
  <si>
    <t>I1 VS I3</t>
  </si>
  <si>
    <t>E1 VS E2</t>
  </si>
  <si>
    <t>I3 VS I4</t>
  </si>
  <si>
    <t>D2 VS D4</t>
  </si>
  <si>
    <t>J2 VS J4</t>
  </si>
  <si>
    <t>F2 VS F3</t>
  </si>
  <si>
    <t>J1 VS J4</t>
  </si>
  <si>
    <t>H3 VS H4</t>
  </si>
  <si>
    <t>L3 VS L4</t>
  </si>
  <si>
    <t>G2 VS G4</t>
  </si>
  <si>
    <t>E1 VS E4</t>
  </si>
  <si>
    <t>L2 VS L3</t>
  </si>
  <si>
    <t>E3 VS E4</t>
  </si>
  <si>
    <t>K1 VS K2</t>
  </si>
  <si>
    <t>C1 VS C3</t>
  </si>
  <si>
    <t>L2 VS L4</t>
  </si>
  <si>
    <t>G1 VS G4</t>
  </si>
  <si>
    <t>E2 VS E4</t>
  </si>
  <si>
    <t>F1 VS F4</t>
  </si>
  <si>
    <t>D1 VS D2</t>
  </si>
  <si>
    <t>F2 VS F4</t>
  </si>
  <si>
    <t>D1 VS D4</t>
  </si>
  <si>
    <t>C3 VS C4</t>
  </si>
  <si>
    <t>H2 VS H4</t>
  </si>
  <si>
    <t>C1 VS C4</t>
  </si>
  <si>
    <t>G2 VS G3</t>
  </si>
  <si>
    <t>H1 VS H2</t>
  </si>
  <si>
    <t>H1 VS H3</t>
  </si>
  <si>
    <t>E2 VS E3</t>
  </si>
  <si>
    <t>J2 VS J3</t>
  </si>
  <si>
    <t>F3 VS F4</t>
  </si>
  <si>
    <t>J3 VS J4</t>
  </si>
  <si>
    <t>C2 VS C4</t>
  </si>
  <si>
    <t>K2 VS K4</t>
  </si>
  <si>
    <t>D2 VS D3</t>
  </si>
  <si>
    <t>D3 VS D4</t>
  </si>
  <si>
    <t>J1 VS J2</t>
  </si>
  <si>
    <t>D1 VS D3</t>
  </si>
  <si>
    <t>I2 VS I3</t>
  </si>
  <si>
    <t>B2 VS B3</t>
  </si>
  <si>
    <t>I2 VS I4</t>
  </si>
  <si>
    <t>D3 V D4</t>
  </si>
  <si>
    <t>B1 V B3</t>
  </si>
  <si>
    <t>G2 V G4</t>
  </si>
  <si>
    <t>B1 V B4</t>
  </si>
  <si>
    <t>G1 V G4</t>
  </si>
  <si>
    <t>G1 V G2</t>
  </si>
  <si>
    <t>G2 V G3</t>
  </si>
  <si>
    <t>D1 V D3</t>
  </si>
  <si>
    <t>B2 V B3</t>
  </si>
  <si>
    <t>B3 V B4</t>
  </si>
  <si>
    <t>J3 V J4</t>
  </si>
  <si>
    <t>D2 V D4</t>
  </si>
  <si>
    <t>J2 V J4</t>
  </si>
  <si>
    <t>D1 V D2</t>
  </si>
  <si>
    <t>D1 V D4</t>
  </si>
  <si>
    <t>G1 V G3</t>
  </si>
  <si>
    <t>G3 V G4</t>
  </si>
  <si>
    <t>B2 V B4</t>
  </si>
  <si>
    <t>K2 V K4</t>
  </si>
  <si>
    <t>H1 V H4</t>
  </si>
  <si>
    <t>A1 V A4</t>
  </si>
  <si>
    <t>F3 V F4</t>
  </si>
  <si>
    <t>F2 V F4</t>
  </si>
  <si>
    <t>E1 V E2</t>
  </si>
  <si>
    <t>F1 V F3</t>
  </si>
  <si>
    <t>K1 V K3</t>
  </si>
  <si>
    <t>H2 V H3</t>
  </si>
  <si>
    <t>F1 V F2</t>
  </si>
  <si>
    <t>L1 V L2</t>
  </si>
  <si>
    <t>J1 V J3</t>
  </si>
  <si>
    <t>J1 V J4</t>
  </si>
  <si>
    <t>J1 V J2</t>
  </si>
  <si>
    <t>E2 V E4</t>
  </si>
  <si>
    <t>F1 V F4</t>
  </si>
  <si>
    <t>J2 V J3</t>
  </si>
  <si>
    <t>H1 V H2</t>
  </si>
  <si>
    <t>A2 V A4</t>
  </si>
  <si>
    <t>H1 V H3</t>
  </si>
  <si>
    <t>K2 V K3</t>
  </si>
  <si>
    <t>H3 V H4</t>
  </si>
  <si>
    <t>H2 V H4</t>
  </si>
  <si>
    <t>C1 V C4</t>
  </si>
  <si>
    <t>K1 V K4</t>
  </si>
  <si>
    <t>L3 V L4</t>
  </si>
  <si>
    <t>E1 V E3</t>
  </si>
  <si>
    <t>L2 V L4</t>
  </si>
  <si>
    <t>I2 V I3</t>
  </si>
  <si>
    <t>C3 V C4</t>
  </si>
  <si>
    <t>I3 V I4</t>
  </si>
  <si>
    <t>C2 V C4</t>
  </si>
  <si>
    <t>L2 V L3</t>
  </si>
  <si>
    <t>I1 V I4</t>
  </si>
  <si>
    <t>E3 V E4</t>
  </si>
  <si>
    <t>C1 V C3</t>
  </si>
  <si>
    <t>I1 V I3</t>
  </si>
  <si>
    <t>E2 V E3</t>
  </si>
  <si>
    <t>C1 V C2</t>
  </si>
  <si>
    <t>I1 V I2</t>
  </si>
  <si>
    <t>I2 V I4</t>
  </si>
  <si>
    <t>E1 V E4</t>
  </si>
  <si>
    <t>L1 V L4</t>
  </si>
  <si>
    <t>A1 V A2</t>
  </si>
  <si>
    <t>B1 V B2</t>
  </si>
  <si>
    <t>K1 V K2</t>
  </si>
  <si>
    <t>K3 V K4</t>
  </si>
  <si>
    <t>A1 V A3</t>
  </si>
  <si>
    <t>A2 V A3</t>
  </si>
  <si>
    <t>F2 V F3</t>
  </si>
  <si>
    <t>D2 V D3</t>
  </si>
  <si>
    <t>A3 V A4</t>
  </si>
  <si>
    <t>L1 V L3</t>
  </si>
  <si>
    <t>B1 VS B4</t>
  </si>
  <si>
    <t>H1 VS H4</t>
  </si>
  <si>
    <t>A1 VS A4</t>
  </si>
  <si>
    <t>K2 VS K3</t>
  </si>
  <si>
    <t>B2 VS B4</t>
  </si>
  <si>
    <t>K1 VS K4</t>
  </si>
  <si>
    <t>gi values having reference country</t>
  </si>
  <si>
    <t>Italy, Northern Ireland, Wales, Bosnia, Herzegovina</t>
  </si>
  <si>
    <t>Jamaica, New Caledonia, DR Congo</t>
  </si>
  <si>
    <t>Ukraine, Sweden, Poland, Albania</t>
  </si>
  <si>
    <t>Bolivia, Suriname, Iraq</t>
  </si>
  <si>
    <t>Denmark, North Macedonia, Czechia, Ireland</t>
  </si>
  <si>
    <t>Turkey, Romania, Slovakia, Kosovo</t>
  </si>
  <si>
    <t>Nations which are not qualified yet</t>
  </si>
  <si>
    <t>Selected Team</t>
  </si>
  <si>
    <t>For the nations that have not yet qualified, we assume that the teams with the highest</t>
  </si>
  <si>
    <t>FIFA ranking points among the remaining contenders qualify for the tournament.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</si>
</sst>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8"/>
      <name val="Aptos Narrow"/>
      <family val="2"/>
      <scheme val="minor"/>
    </font>
    <font>
      <b/>
      <sz val="12"/>
      <name val="Calibri"/>
      <family val="2"/>
    </font>
    <font>
      <i/>
      <sz val="12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 tint="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9" fontId="2" fillId="2" borderId="4" xfId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0" xfId="0" applyFont="1" applyFill="1"/>
    <xf numFmtId="9" fontId="2" fillId="2" borderId="0" xfId="1" applyFont="1" applyFill="1" applyBorder="1"/>
    <xf numFmtId="0" fontId="4" fillId="2" borderId="0" xfId="0" applyFont="1" applyFill="1"/>
    <xf numFmtId="9" fontId="2" fillId="2" borderId="0" xfId="1" applyFont="1" applyFill="1" applyBorder="1" applyAlignment="1">
      <alignment horizontal="left"/>
    </xf>
    <xf numFmtId="0" fontId="2" fillId="2" borderId="12" xfId="0" applyFont="1" applyFill="1" applyBorder="1"/>
    <xf numFmtId="9" fontId="2" fillId="2" borderId="12" xfId="1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9" fontId="2" fillId="2" borderId="9" xfId="1" applyFont="1" applyFill="1" applyBorder="1"/>
    <xf numFmtId="0" fontId="2" fillId="2" borderId="10" xfId="0" applyFont="1" applyFill="1" applyBorder="1"/>
    <xf numFmtId="0" fontId="3" fillId="2" borderId="14" xfId="0" applyFont="1" applyFill="1" applyBorder="1"/>
    <xf numFmtId="9" fontId="3" fillId="2" borderId="14" xfId="1" applyFont="1" applyFill="1" applyBorder="1"/>
    <xf numFmtId="0" fontId="2" fillId="2" borderId="15" xfId="0" applyFont="1" applyFill="1" applyBorder="1"/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0" fontId="2" fillId="2" borderId="1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9" fillId="2" borderId="12" xfId="0" applyFont="1" applyFill="1" applyBorder="1"/>
    <xf numFmtId="0" fontId="2" fillId="2" borderId="0" xfId="0" applyFont="1" applyFill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left"/>
    </xf>
    <xf numFmtId="0" fontId="5" fillId="2" borderId="2" xfId="0" applyFont="1" applyFill="1" applyBorder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9" fillId="2" borderId="0" xfId="0" applyFont="1" applyFill="1"/>
    <xf numFmtId="0" fontId="12" fillId="2" borderId="0" xfId="0" applyFont="1" applyFill="1"/>
    <xf numFmtId="0" fontId="2" fillId="2" borderId="1" xfId="0" applyFont="1" applyFill="1" applyBorder="1"/>
    <xf numFmtId="0" fontId="13" fillId="2" borderId="0" xfId="0" applyFont="1" applyFill="1"/>
    <xf numFmtId="2" fontId="2" fillId="2" borderId="0" xfId="0" applyNumberFormat="1" applyFont="1" applyFill="1"/>
    <xf numFmtId="2" fontId="2" fillId="2" borderId="0" xfId="1" applyNumberFormat="1" applyFont="1" applyFill="1" applyBorder="1"/>
    <xf numFmtId="2" fontId="2" fillId="2" borderId="9" xfId="0" applyNumberFormat="1" applyFont="1" applyFill="1" applyBorder="1"/>
    <xf numFmtId="2" fontId="2" fillId="2" borderId="9" xfId="1" applyNumberFormat="1" applyFont="1" applyFill="1" applyBorder="1"/>
    <xf numFmtId="2" fontId="2" fillId="2" borderId="0" xfId="1" applyNumberFormat="1" applyFont="1" applyFill="1" applyBorder="1" applyAlignment="1">
      <alignment horizontal="left"/>
    </xf>
    <xf numFmtId="0" fontId="11" fillId="2" borderId="13" xfId="0" applyFont="1" applyFill="1" applyBorder="1" applyAlignment="1">
      <alignment horizontal="left"/>
    </xf>
    <xf numFmtId="2" fontId="11" fillId="2" borderId="13" xfId="0" applyNumberFormat="1" applyFont="1" applyFill="1" applyBorder="1" applyAlignment="1">
      <alignment horizontal="left"/>
    </xf>
    <xf numFmtId="2" fontId="11" fillId="2" borderId="13" xfId="1" applyNumberFormat="1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3" fontId="2" fillId="2" borderId="1" xfId="0" applyNumberFormat="1" applyFont="1" applyFill="1" applyBorder="1"/>
    <xf numFmtId="3" fontId="2" fillId="2" borderId="0" xfId="0" applyNumberFormat="1" applyFont="1" applyFill="1"/>
    <xf numFmtId="0" fontId="2" fillId="2" borderId="9" xfId="0" applyFont="1" applyFill="1" applyBorder="1" applyAlignment="1">
      <alignment horizontal="left"/>
    </xf>
    <xf numFmtId="3" fontId="2" fillId="2" borderId="12" xfId="0" applyNumberFormat="1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164" fontId="2" fillId="2" borderId="12" xfId="0" applyNumberFormat="1" applyFont="1" applyFill="1" applyBorder="1" applyAlignment="1">
      <alignment horizontal="left"/>
    </xf>
    <xf numFmtId="2" fontId="2" fillId="2" borderId="12" xfId="0" applyNumberFormat="1" applyFont="1" applyFill="1" applyBorder="1" applyAlignment="1">
      <alignment horizontal="left"/>
    </xf>
    <xf numFmtId="2" fontId="2" fillId="2" borderId="12" xfId="1" applyNumberFormat="1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9" fontId="2" fillId="2" borderId="0" xfId="1" applyFont="1" applyFill="1"/>
    <xf numFmtId="0" fontId="16" fillId="2" borderId="13" xfId="0" applyFont="1" applyFill="1" applyBorder="1" applyAlignment="1">
      <alignment horizontal="center"/>
    </xf>
    <xf numFmtId="0" fontId="16" fillId="2" borderId="13" xfId="0" applyFont="1" applyFill="1" applyBorder="1"/>
    <xf numFmtId="0" fontId="16" fillId="2" borderId="13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3" fillId="2" borderId="3" xfId="0" applyFont="1" applyFill="1" applyBorder="1"/>
    <xf numFmtId="0" fontId="13" fillId="2" borderId="4" xfId="0" applyFont="1" applyFill="1" applyBorder="1"/>
    <xf numFmtId="0" fontId="13" fillId="2" borderId="5" xfId="0" applyFont="1" applyFill="1" applyBorder="1"/>
    <xf numFmtId="0" fontId="6" fillId="2" borderId="5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/>
    </xf>
    <xf numFmtId="0" fontId="5" fillId="2" borderId="12" xfId="0" applyFont="1" applyFill="1" applyBorder="1"/>
    <xf numFmtId="0" fontId="2" fillId="2" borderId="6" xfId="0" applyFont="1" applyFill="1" applyBorder="1" applyAlignment="1">
      <alignment horizontal="left"/>
    </xf>
    <xf numFmtId="2" fontId="5" fillId="2" borderId="0" xfId="0" applyNumberFormat="1" applyFont="1" applyFill="1" applyAlignment="1">
      <alignment horizontal="right"/>
    </xf>
    <xf numFmtId="2" fontId="5" fillId="2" borderId="0" xfId="0" applyNumberFormat="1" applyFont="1" applyFill="1"/>
    <xf numFmtId="0" fontId="11" fillId="2" borderId="0" xfId="0" applyFont="1" applyFill="1" applyAlignment="1">
      <alignment horizontal="left"/>
    </xf>
    <xf numFmtId="0" fontId="11" fillId="2" borderId="16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2" fontId="2" fillId="2" borderId="0" xfId="0" applyNumberFormat="1" applyFont="1" applyFill="1" applyAlignment="1">
      <alignment horizontal="left"/>
    </xf>
    <xf numFmtId="0" fontId="2" fillId="2" borderId="17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7" fillId="2" borderId="14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215254</xdr:colOff>
      <xdr:row>2</xdr:row>
      <xdr:rowOff>107626</xdr:rowOff>
    </xdr:from>
    <xdr:to>
      <xdr:col>25</xdr:col>
      <xdr:colOff>312118</xdr:colOff>
      <xdr:row>29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AE6F8-D4B5-FFEA-1DFF-76D2C1305290}"/>
            </a:ext>
          </a:extLst>
        </xdr:cNvPr>
        <xdr:cNvSpPr txBox="1"/>
      </xdr:nvSpPr>
      <xdr:spPr>
        <a:xfrm>
          <a:off x="21932254" y="526726"/>
          <a:ext cx="6700864" cy="5378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GDP Per Capita:</a:t>
          </a: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latest available data</a:t>
          </a:r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 is from 2024:</a:t>
          </a: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https://data.worldbank.org/indicator/NY.GDP.PCAP.CD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for initial gi refere to gi value calculations sheet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scaled gi = 1.46 * intial gi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scaling</a:t>
          </a:r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 factor used is  to scale gi value based on  the capacity of stadium</a:t>
          </a: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Average_stadium_capacity_2026/Average_stadium_capacity_2022</a:t>
          </a: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(refer stadiums sheet)</a:t>
          </a: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reference:  </a:t>
          </a: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https://www.statista.com/statistics/1298103/fifa-world-cup-qatar-stadium-capacities/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for the countries that did not initially have the gi value we use the reference</a:t>
          </a:r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 countries and scale it using  </a:t>
          </a: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gi_reference_country *(GDP_per_capita_current_nation/GDP_per_capita_reference_nation)</a:t>
          </a: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S value is calculated using the formula stated inb the research paper but changing  percentage of tickets sold from 12% to 8% reference the link below</a:t>
          </a: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S=0.91*0.08*Average_stadium_capacity_2026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Spectator index is Min(1,final_gi_value/S)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formula is referenced from research paper provided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273538</xdr:colOff>
      <xdr:row>2</xdr:row>
      <xdr:rowOff>68383</xdr:rowOff>
    </xdr:from>
    <xdr:to>
      <xdr:col>14</xdr:col>
      <xdr:colOff>635000</xdr:colOff>
      <xdr:row>10</xdr:row>
      <xdr:rowOff>68383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A0545B-CA5F-0128-A31A-D88B60061C01}"/>
            </a:ext>
          </a:extLst>
        </xdr:cNvPr>
        <xdr:cNvSpPr txBox="1"/>
      </xdr:nvSpPr>
      <xdr:spPr>
        <a:xfrm>
          <a:off x="9261230" y="488460"/>
          <a:ext cx="3634155" cy="1641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Stadium capacity for 2026 is taken from:</a:t>
          </a: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https://ussoccerplayers.com/soccer-fact-sheets/2026-fifa-world-cup-stadiums</a:t>
          </a:r>
        </a:p>
        <a:p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Stadium capcity</a:t>
          </a:r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 for 2022 is taken from:</a:t>
          </a: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https://www.statista.com/statistics/1298103/fifa-world-cup-qatar-stadium-capacities/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368300</xdr:colOff>
      <xdr:row>3</xdr:row>
      <xdr:rowOff>190500</xdr:rowOff>
    </xdr:from>
    <xdr:to>
      <xdr:col>16</xdr:col>
      <xdr:colOff>584200</xdr:colOff>
      <xdr:row>10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0FF245-0324-6E7C-6776-39282517D2CC}"/>
            </a:ext>
          </a:extLst>
        </xdr:cNvPr>
        <xdr:cNvSpPr txBox="1"/>
      </xdr:nvSpPr>
      <xdr:spPr>
        <a:xfrm>
          <a:off x="7137400" y="812800"/>
          <a:ext cx="5994400" cy="138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Average Attendance is calculated by using the average of all matches (both home and away) </a:t>
          </a:r>
        </a:p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gi baseline value = Average Attendance</a:t>
          </a:r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*0.91*0.12</a:t>
          </a: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reference: </a:t>
          </a: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https://www.kaggle.com/datasets/parasharmanas/qatar-2022-fifa-world-cup-attendance</a:t>
          </a:r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582349</xdr:colOff>
      <xdr:row>2</xdr:row>
      <xdr:rowOff>40441</xdr:rowOff>
    </xdr:from>
    <xdr:to>
      <xdr:col>31</xdr:col>
      <xdr:colOff>448972</xdr:colOff>
      <xdr:row>10</xdr:row>
      <xdr:rowOff>72159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751B74-4A04-ED65-3A24-BD980422D48D}"/>
            </a:ext>
          </a:extLst>
        </xdr:cNvPr>
        <xdr:cNvSpPr txBox="1"/>
      </xdr:nvSpPr>
      <xdr:spPr>
        <a:xfrm>
          <a:off x="23023826" y="458964"/>
          <a:ext cx="4816737" cy="16480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libri" panose="020F0502020204030204" pitchFamily="34" charset="0"/>
              <a:cs typeface="Calibri" panose="020F0502020204030204" pitchFamily="34" charset="0"/>
            </a:rPr>
            <a:t>This</a:t>
          </a:r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 propotype is created using the actual FIFA Schedule published in their website:</a:t>
          </a: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reference: https://digitalhub.fifa.com/m/1be9ce37eb98fcc5/original/FWC26-Match-Schedule_English.pdf</a:t>
          </a:r>
        </a:p>
        <a:p>
          <a:endParaRPr lang="en-GB" sz="12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aseline="0">
              <a:latin typeface="Calibri" panose="020F0502020204030204" pitchFamily="34" charset="0"/>
              <a:cs typeface="Calibri" panose="020F0502020204030204" pitchFamily="34" charset="0"/>
            </a:rPr>
            <a:t>Referenece sheet: original schedule</a:t>
          </a:r>
          <a:endParaRPr lang="en-GB" sz="12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8578-A557-3C4B-BF5E-15D0A6FEE5B8}">
  <dimension ref="B1:J51"/>
  <sheetViews>
    <sheetView zoomScaleNormal="100" workbookViewId="0">
      <selection activeCell="H24" sqref="H24"/>
    </sheetView>
  </sheetViews>
  <sheetFormatPr baseColWidth="10" defaultRowHeight="16" x14ac:dyDescent="0.2"/>
  <cols>
    <col min="1" max="1" width="10.83203125" style="7"/>
    <col min="2" max="2" width="3.83203125" style="7" customWidth="1"/>
    <col min="3" max="3" width="18.83203125" style="7" bestFit="1" customWidth="1"/>
    <col min="4" max="4" width="13.5" style="7" bestFit="1" customWidth="1"/>
    <col min="5" max="7" width="3.83203125" style="7" customWidth="1"/>
    <col min="8" max="8" width="43.1640625" style="7" bestFit="1" customWidth="1"/>
    <col min="9" max="9" width="13" style="7" bestFit="1" customWidth="1"/>
    <col min="10" max="10" width="13.33203125" style="7" bestFit="1" customWidth="1"/>
    <col min="11" max="11" width="3.83203125" style="7" customWidth="1"/>
    <col min="12" max="16384" width="10.83203125" style="7"/>
  </cols>
  <sheetData>
    <row r="1" spans="2:10" ht="17" thickBot="1" x14ac:dyDescent="0.25"/>
    <row r="2" spans="2:10" x14ac:dyDescent="0.2">
      <c r="B2" s="1"/>
      <c r="C2" s="49" t="s">
        <v>45</v>
      </c>
      <c r="D2" s="49" t="s">
        <v>0</v>
      </c>
      <c r="E2" s="4"/>
      <c r="H2" s="7" t="s">
        <v>350</v>
      </c>
    </row>
    <row r="3" spans="2:10" x14ac:dyDescent="0.2">
      <c r="B3" s="5"/>
      <c r="C3" s="30" t="s">
        <v>1</v>
      </c>
      <c r="D3" s="30" t="s">
        <v>2</v>
      </c>
      <c r="E3" s="6"/>
      <c r="H3" s="7" t="s">
        <v>351</v>
      </c>
    </row>
    <row r="4" spans="2:10" ht="17" thickBot="1" x14ac:dyDescent="0.25">
      <c r="B4" s="5"/>
      <c r="C4" s="30" t="s">
        <v>35</v>
      </c>
      <c r="D4" s="30" t="s">
        <v>4</v>
      </c>
      <c r="E4" s="6"/>
    </row>
    <row r="5" spans="2:10" x14ac:dyDescent="0.2">
      <c r="B5" s="5"/>
      <c r="C5" s="30" t="s">
        <v>17</v>
      </c>
      <c r="D5" s="30" t="s">
        <v>5</v>
      </c>
      <c r="E5" s="6"/>
      <c r="H5" s="69" t="s">
        <v>348</v>
      </c>
      <c r="I5" s="70" t="s">
        <v>0</v>
      </c>
      <c r="J5" s="71" t="s">
        <v>349</v>
      </c>
    </row>
    <row r="6" spans="2:10" x14ac:dyDescent="0.2">
      <c r="B6" s="5"/>
      <c r="C6" s="30" t="s">
        <v>24</v>
      </c>
      <c r="D6" s="30" t="s">
        <v>6</v>
      </c>
      <c r="E6" s="6"/>
      <c r="H6" s="5" t="s">
        <v>342</v>
      </c>
      <c r="I6" s="7" t="s">
        <v>6</v>
      </c>
      <c r="J6" s="6" t="s">
        <v>55</v>
      </c>
    </row>
    <row r="7" spans="2:10" x14ac:dyDescent="0.2">
      <c r="B7" s="5"/>
      <c r="C7" s="30" t="s">
        <v>7</v>
      </c>
      <c r="D7" s="30" t="s">
        <v>2</v>
      </c>
      <c r="E7" s="6"/>
      <c r="H7" s="5" t="s">
        <v>343</v>
      </c>
      <c r="I7" s="7" t="s">
        <v>4</v>
      </c>
      <c r="J7" s="6" t="s">
        <v>50</v>
      </c>
    </row>
    <row r="8" spans="2:10" x14ac:dyDescent="0.2">
      <c r="B8" s="5"/>
      <c r="C8" s="30" t="s">
        <v>42</v>
      </c>
      <c r="D8" s="30" t="s">
        <v>6</v>
      </c>
      <c r="E8" s="6"/>
      <c r="H8" s="5" t="s">
        <v>344</v>
      </c>
      <c r="I8" s="7" t="s">
        <v>6</v>
      </c>
      <c r="J8" s="6" t="s">
        <v>52</v>
      </c>
    </row>
    <row r="9" spans="2:10" x14ac:dyDescent="0.2">
      <c r="B9" s="5"/>
      <c r="C9" s="30" t="s">
        <v>26</v>
      </c>
      <c r="D9" s="30" t="s">
        <v>5</v>
      </c>
      <c r="E9" s="6"/>
      <c r="H9" s="5" t="s">
        <v>345</v>
      </c>
      <c r="I9" s="7" t="s">
        <v>5</v>
      </c>
      <c r="J9" s="6" t="s">
        <v>51</v>
      </c>
    </row>
    <row r="10" spans="2:10" x14ac:dyDescent="0.2">
      <c r="B10" s="5"/>
      <c r="C10" s="30" t="s">
        <v>22</v>
      </c>
      <c r="D10" s="30" t="s">
        <v>5</v>
      </c>
      <c r="E10" s="6"/>
      <c r="H10" s="5" t="s">
        <v>347</v>
      </c>
      <c r="I10" s="7" t="s">
        <v>6</v>
      </c>
      <c r="J10" s="6" t="s">
        <v>53</v>
      </c>
    </row>
    <row r="11" spans="2:10" ht="17" thickBot="1" x14ac:dyDescent="0.25">
      <c r="B11" s="5"/>
      <c r="C11" s="30" t="s">
        <v>10</v>
      </c>
      <c r="D11" s="30" t="s">
        <v>11</v>
      </c>
      <c r="E11" s="6"/>
      <c r="H11" s="13" t="s">
        <v>346</v>
      </c>
      <c r="I11" s="14" t="s">
        <v>6</v>
      </c>
      <c r="J11" s="16" t="s">
        <v>54</v>
      </c>
    </row>
    <row r="12" spans="2:10" x14ac:dyDescent="0.2">
      <c r="B12" s="5"/>
      <c r="C12" s="30" t="s">
        <v>25</v>
      </c>
      <c r="D12" s="30" t="s">
        <v>4</v>
      </c>
      <c r="E12" s="6"/>
    </row>
    <row r="13" spans="2:10" x14ac:dyDescent="0.2">
      <c r="B13" s="5"/>
      <c r="C13" s="30" t="s">
        <v>37</v>
      </c>
      <c r="D13" s="52" t="s">
        <v>5</v>
      </c>
      <c r="E13" s="6"/>
    </row>
    <row r="14" spans="2:10" x14ac:dyDescent="0.2">
      <c r="B14" s="5"/>
      <c r="C14" s="30" t="s">
        <v>46</v>
      </c>
      <c r="D14" s="30" t="s">
        <v>5</v>
      </c>
      <c r="E14" s="6"/>
    </row>
    <row r="15" spans="2:10" x14ac:dyDescent="0.2">
      <c r="B15" s="5"/>
      <c r="C15" s="30" t="s">
        <v>15</v>
      </c>
      <c r="D15" s="30" t="s">
        <v>2</v>
      </c>
      <c r="E15" s="6"/>
    </row>
    <row r="16" spans="2:10" x14ac:dyDescent="0.2">
      <c r="B16" s="5"/>
      <c r="C16" s="30" t="s">
        <v>16</v>
      </c>
      <c r="D16" s="30" t="s">
        <v>11</v>
      </c>
      <c r="E16" s="6"/>
    </row>
    <row r="17" spans="2:9" x14ac:dyDescent="0.2">
      <c r="B17" s="5"/>
      <c r="C17" s="30" t="s">
        <v>8</v>
      </c>
      <c r="D17" s="30" t="s">
        <v>5</v>
      </c>
      <c r="E17" s="6"/>
    </row>
    <row r="18" spans="2:9" x14ac:dyDescent="0.2">
      <c r="B18" s="5"/>
      <c r="C18" s="30" t="s">
        <v>41</v>
      </c>
      <c r="D18" s="30" t="s">
        <v>6</v>
      </c>
      <c r="E18" s="6"/>
    </row>
    <row r="19" spans="2:9" x14ac:dyDescent="0.2">
      <c r="B19" s="5"/>
      <c r="C19" s="30" t="s">
        <v>29</v>
      </c>
      <c r="D19" s="30" t="s">
        <v>5</v>
      </c>
      <c r="E19" s="6"/>
    </row>
    <row r="20" spans="2:9" x14ac:dyDescent="0.2">
      <c r="B20" s="5"/>
      <c r="C20" s="30" t="s">
        <v>48</v>
      </c>
      <c r="D20" s="30" t="s">
        <v>4</v>
      </c>
      <c r="E20" s="6"/>
    </row>
    <row r="21" spans="2:9" x14ac:dyDescent="0.2">
      <c r="B21" s="5"/>
      <c r="C21" s="30" t="s">
        <v>12</v>
      </c>
      <c r="D21" s="30" t="s">
        <v>4</v>
      </c>
      <c r="E21" s="6"/>
    </row>
    <row r="22" spans="2:9" x14ac:dyDescent="0.2">
      <c r="B22" s="5"/>
      <c r="C22" s="30" t="s">
        <v>32</v>
      </c>
      <c r="D22" s="30" t="s">
        <v>4</v>
      </c>
      <c r="E22" s="6"/>
      <c r="H22" s="40"/>
      <c r="I22" s="41"/>
    </row>
    <row r="23" spans="2:9" x14ac:dyDescent="0.2">
      <c r="B23" s="5"/>
      <c r="C23" s="30" t="s">
        <v>36</v>
      </c>
      <c r="D23" s="30" t="s">
        <v>6</v>
      </c>
      <c r="E23" s="6"/>
      <c r="H23" s="40"/>
      <c r="I23" s="40"/>
    </row>
    <row r="24" spans="2:9" x14ac:dyDescent="0.2">
      <c r="B24" s="5"/>
      <c r="C24" s="30" t="s">
        <v>47</v>
      </c>
      <c r="D24" s="52" t="s">
        <v>4</v>
      </c>
      <c r="E24" s="6"/>
      <c r="H24" s="40"/>
      <c r="I24" s="40"/>
    </row>
    <row r="25" spans="2:9" x14ac:dyDescent="0.2">
      <c r="B25" s="5"/>
      <c r="C25" s="30" t="s">
        <v>31</v>
      </c>
      <c r="D25" s="30" t="s">
        <v>6</v>
      </c>
      <c r="E25" s="6"/>
    </row>
    <row r="26" spans="2:9" x14ac:dyDescent="0.2">
      <c r="B26" s="5"/>
      <c r="C26" s="30" t="s">
        <v>19</v>
      </c>
      <c r="D26" s="30" t="s">
        <v>2</v>
      </c>
      <c r="E26" s="6"/>
    </row>
    <row r="27" spans="2:9" x14ac:dyDescent="0.2">
      <c r="B27" s="5"/>
      <c r="C27" s="30" t="s">
        <v>20</v>
      </c>
      <c r="D27" s="30" t="s">
        <v>11</v>
      </c>
      <c r="E27" s="6"/>
    </row>
    <row r="28" spans="2:9" x14ac:dyDescent="0.2">
      <c r="B28" s="5"/>
      <c r="C28" s="30" t="s">
        <v>30</v>
      </c>
      <c r="D28" s="30" t="s">
        <v>11</v>
      </c>
      <c r="E28" s="6"/>
    </row>
    <row r="29" spans="2:9" x14ac:dyDescent="0.2">
      <c r="B29" s="5"/>
      <c r="C29" s="30" t="s">
        <v>18</v>
      </c>
      <c r="D29" s="30" t="s">
        <v>6</v>
      </c>
      <c r="E29" s="6"/>
    </row>
    <row r="30" spans="2:9" x14ac:dyDescent="0.2">
      <c r="B30" s="5"/>
      <c r="C30" s="30" t="s">
        <v>3</v>
      </c>
      <c r="D30" s="30" t="s">
        <v>4</v>
      </c>
      <c r="E30" s="6"/>
    </row>
    <row r="31" spans="2:9" x14ac:dyDescent="0.2">
      <c r="B31" s="5"/>
      <c r="C31" s="30" t="s">
        <v>43</v>
      </c>
      <c r="D31" s="52" t="s">
        <v>4</v>
      </c>
      <c r="E31" s="6"/>
    </row>
    <row r="32" spans="2:9" x14ac:dyDescent="0.2">
      <c r="B32" s="5"/>
      <c r="C32" s="30" t="s">
        <v>21</v>
      </c>
      <c r="D32" s="30" t="s">
        <v>6</v>
      </c>
      <c r="E32" s="6"/>
    </row>
    <row r="33" spans="2:5" x14ac:dyDescent="0.2">
      <c r="B33" s="5"/>
      <c r="C33" s="30" t="s">
        <v>34</v>
      </c>
      <c r="D33" s="30" t="s">
        <v>11</v>
      </c>
      <c r="E33" s="6"/>
    </row>
    <row r="34" spans="2:5" x14ac:dyDescent="0.2">
      <c r="B34" s="5"/>
      <c r="C34" s="30" t="s">
        <v>23</v>
      </c>
      <c r="D34" s="30" t="s">
        <v>4</v>
      </c>
      <c r="E34" s="6"/>
    </row>
    <row r="35" spans="2:5" x14ac:dyDescent="0.2">
      <c r="B35" s="5"/>
      <c r="C35" s="30" t="s">
        <v>13</v>
      </c>
      <c r="D35" s="30" t="s">
        <v>2</v>
      </c>
      <c r="E35" s="6"/>
    </row>
    <row r="36" spans="2:5" x14ac:dyDescent="0.2">
      <c r="B36" s="5"/>
      <c r="C36" s="30" t="s">
        <v>27</v>
      </c>
      <c r="D36" s="52" t="s">
        <v>49</v>
      </c>
      <c r="E36" s="6"/>
    </row>
    <row r="37" spans="2:5" x14ac:dyDescent="0.2">
      <c r="B37" s="5"/>
      <c r="C37" s="30" t="s">
        <v>33</v>
      </c>
      <c r="D37" s="30" t="s">
        <v>6</v>
      </c>
      <c r="E37" s="6"/>
    </row>
    <row r="38" spans="2:5" x14ac:dyDescent="0.2">
      <c r="B38" s="5"/>
      <c r="C38" s="30" t="s">
        <v>44</v>
      </c>
      <c r="D38" s="30" t="s">
        <v>2</v>
      </c>
      <c r="E38" s="6"/>
    </row>
    <row r="39" spans="2:5" x14ac:dyDescent="0.2">
      <c r="B39" s="5"/>
      <c r="C39" s="30" t="s">
        <v>55</v>
      </c>
      <c r="D39" s="30" t="s">
        <v>6</v>
      </c>
      <c r="E39" s="6"/>
    </row>
    <row r="40" spans="2:5" x14ac:dyDescent="0.2">
      <c r="B40" s="5"/>
      <c r="C40" s="30" t="s">
        <v>50</v>
      </c>
      <c r="D40" s="30" t="s">
        <v>4</v>
      </c>
      <c r="E40" s="6"/>
    </row>
    <row r="41" spans="2:5" x14ac:dyDescent="0.2">
      <c r="B41" s="5"/>
      <c r="C41" s="30" t="s">
        <v>52</v>
      </c>
      <c r="D41" s="30" t="s">
        <v>6</v>
      </c>
      <c r="E41" s="6"/>
    </row>
    <row r="42" spans="2:5" x14ac:dyDescent="0.2">
      <c r="B42" s="5"/>
      <c r="C42" s="30" t="s">
        <v>51</v>
      </c>
      <c r="D42" s="30" t="s">
        <v>5</v>
      </c>
      <c r="E42" s="6"/>
    </row>
    <row r="43" spans="2:5" x14ac:dyDescent="0.2">
      <c r="B43" s="5"/>
      <c r="C43" s="30" t="s">
        <v>53</v>
      </c>
      <c r="D43" s="30" t="s">
        <v>6</v>
      </c>
      <c r="E43" s="6"/>
    </row>
    <row r="44" spans="2:5" x14ac:dyDescent="0.2">
      <c r="B44" s="5"/>
      <c r="C44" s="30" t="s">
        <v>54</v>
      </c>
      <c r="D44" s="30" t="s">
        <v>6</v>
      </c>
      <c r="E44" s="6"/>
    </row>
    <row r="45" spans="2:5" x14ac:dyDescent="0.2">
      <c r="B45" s="5"/>
      <c r="C45" s="30" t="s">
        <v>14</v>
      </c>
      <c r="D45" s="30" t="s">
        <v>6</v>
      </c>
      <c r="E45" s="6"/>
    </row>
    <row r="46" spans="2:5" x14ac:dyDescent="0.2">
      <c r="B46" s="5"/>
      <c r="C46" s="30" t="s">
        <v>40</v>
      </c>
      <c r="D46" s="30" t="s">
        <v>11</v>
      </c>
      <c r="E46" s="6"/>
    </row>
    <row r="47" spans="2:5" x14ac:dyDescent="0.2">
      <c r="B47" s="5"/>
      <c r="C47" s="30" t="s">
        <v>38</v>
      </c>
      <c r="D47" s="30" t="s">
        <v>6</v>
      </c>
      <c r="E47" s="6"/>
    </row>
    <row r="48" spans="2:5" x14ac:dyDescent="0.2">
      <c r="B48" s="5"/>
      <c r="C48" s="30" t="s">
        <v>28</v>
      </c>
      <c r="D48" s="30" t="s">
        <v>6</v>
      </c>
      <c r="E48" s="6"/>
    </row>
    <row r="49" spans="2:5" x14ac:dyDescent="0.2">
      <c r="B49" s="5"/>
      <c r="C49" s="30" t="s">
        <v>9</v>
      </c>
      <c r="D49" s="30" t="s">
        <v>6</v>
      </c>
      <c r="E49" s="6"/>
    </row>
    <row r="50" spans="2:5" x14ac:dyDescent="0.2">
      <c r="B50" s="5"/>
      <c r="C50" s="57" t="s">
        <v>39</v>
      </c>
      <c r="D50" s="61" t="s">
        <v>5</v>
      </c>
      <c r="E50" s="6"/>
    </row>
    <row r="51" spans="2:5" ht="17" thickBot="1" x14ac:dyDescent="0.25">
      <c r="B51" s="13"/>
      <c r="C51" s="14"/>
      <c r="D51" s="14"/>
      <c r="E5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AEEC-DF54-4448-BA71-79F70D9BCF2F}">
  <dimension ref="B1:O55"/>
  <sheetViews>
    <sheetView zoomScale="75" zoomScaleNormal="100" workbookViewId="0">
      <selection activeCell="D20" sqref="D20"/>
    </sheetView>
  </sheetViews>
  <sheetFormatPr baseColWidth="10" defaultRowHeight="16" x14ac:dyDescent="0.2"/>
  <cols>
    <col min="1" max="1" width="10.83203125" style="7"/>
    <col min="2" max="7" width="18.83203125" style="7" customWidth="1"/>
    <col min="8" max="9" width="18.83203125" style="44" customWidth="1"/>
    <col min="10" max="10" width="18.83203125" style="7" customWidth="1"/>
    <col min="11" max="13" width="18.83203125" style="44" customWidth="1"/>
    <col min="14" max="14" width="18.83203125" style="45" customWidth="1"/>
    <col min="15" max="15" width="3.83203125" style="7" customWidth="1"/>
    <col min="16" max="16384" width="10.83203125" style="7"/>
  </cols>
  <sheetData>
    <row r="1" spans="2:15" ht="17" thickBot="1" x14ac:dyDescent="0.25"/>
    <row r="2" spans="2:15" x14ac:dyDescent="0.2">
      <c r="B2" s="82" t="s">
        <v>106</v>
      </c>
      <c r="C2" s="49" t="s">
        <v>57</v>
      </c>
      <c r="D2" s="49" t="s">
        <v>45</v>
      </c>
      <c r="E2" s="49" t="s">
        <v>0</v>
      </c>
      <c r="F2" s="49" t="s">
        <v>56</v>
      </c>
      <c r="G2" s="49" t="s">
        <v>139</v>
      </c>
      <c r="H2" s="50" t="s">
        <v>151</v>
      </c>
      <c r="I2" s="50" t="s">
        <v>158</v>
      </c>
      <c r="J2" s="49" t="s">
        <v>148</v>
      </c>
      <c r="K2" s="50" t="s">
        <v>341</v>
      </c>
      <c r="L2" s="50" t="s">
        <v>149</v>
      </c>
      <c r="M2" s="50" t="s">
        <v>150</v>
      </c>
      <c r="N2" s="51" t="s">
        <v>126</v>
      </c>
      <c r="O2" s="4"/>
    </row>
    <row r="3" spans="2:15" x14ac:dyDescent="0.2">
      <c r="B3" s="78">
        <v>27</v>
      </c>
      <c r="C3" s="30" t="s">
        <v>84</v>
      </c>
      <c r="D3" s="30" t="s">
        <v>35</v>
      </c>
      <c r="E3" s="30" t="s">
        <v>4</v>
      </c>
      <c r="F3" s="20">
        <v>1560.91</v>
      </c>
      <c r="G3" s="83">
        <v>5752.99</v>
      </c>
      <c r="H3" s="20" t="s">
        <v>12</v>
      </c>
      <c r="I3" s="84">
        <v>5420.14</v>
      </c>
      <c r="J3" s="20">
        <f t="shared" ref="J3:J50" si="0">1.46*I3</f>
        <v>7913.4044000000004</v>
      </c>
      <c r="K3" s="84">
        <f>J3*G3/4153.19</f>
        <v>10961.631030402174</v>
      </c>
      <c r="L3" s="84">
        <v>10961.631030402201</v>
      </c>
      <c r="M3" s="84">
        <f t="shared" ref="M3:M50" si="1">0.91*0.08*69134</f>
        <v>5032.9552000000003</v>
      </c>
      <c r="N3" s="48">
        <f t="shared" ref="N3:N50" si="2">MIN(1,L3/M3)</f>
        <v>1</v>
      </c>
      <c r="O3" s="6"/>
    </row>
    <row r="4" spans="2:15" x14ac:dyDescent="0.2">
      <c r="B4" s="78">
        <v>2</v>
      </c>
      <c r="C4" s="30" t="s">
        <v>59</v>
      </c>
      <c r="D4" s="30" t="s">
        <v>34</v>
      </c>
      <c r="E4" s="30" t="s">
        <v>11</v>
      </c>
      <c r="F4" s="20">
        <v>1873.33</v>
      </c>
      <c r="G4" s="83">
        <v>13969.78</v>
      </c>
      <c r="H4" s="84" t="s">
        <v>147</v>
      </c>
      <c r="I4" s="84">
        <v>8303.35</v>
      </c>
      <c r="J4" s="20">
        <f t="shared" si="0"/>
        <v>12122.891</v>
      </c>
      <c r="K4" s="84" t="s">
        <v>147</v>
      </c>
      <c r="L4" s="20">
        <f>1.46*I4</f>
        <v>12122.891</v>
      </c>
      <c r="M4" s="84">
        <f t="shared" si="1"/>
        <v>5032.9552000000003</v>
      </c>
      <c r="N4" s="48">
        <f t="shared" si="2"/>
        <v>1</v>
      </c>
      <c r="O4" s="6"/>
    </row>
    <row r="5" spans="2:15" x14ac:dyDescent="0.2">
      <c r="B5" s="78">
        <v>26</v>
      </c>
      <c r="C5" s="30" t="s">
        <v>83</v>
      </c>
      <c r="D5" s="30" t="s">
        <v>17</v>
      </c>
      <c r="E5" s="30" t="s">
        <v>5</v>
      </c>
      <c r="F5" s="20">
        <v>1574.01</v>
      </c>
      <c r="G5" s="83">
        <v>64603.99</v>
      </c>
      <c r="H5" s="84" t="s">
        <v>147</v>
      </c>
      <c r="I5" s="84">
        <v>4641.9799999999996</v>
      </c>
      <c r="J5" s="20">
        <f t="shared" si="0"/>
        <v>6777.2907999999989</v>
      </c>
      <c r="K5" s="84" t="s">
        <v>147</v>
      </c>
      <c r="L5" s="20">
        <f>1.46*I5</f>
        <v>6777.2907999999989</v>
      </c>
      <c r="M5" s="84">
        <f t="shared" si="1"/>
        <v>5032.9552000000003</v>
      </c>
      <c r="N5" s="48">
        <f t="shared" si="2"/>
        <v>1</v>
      </c>
      <c r="O5" s="6"/>
    </row>
    <row r="6" spans="2:15" x14ac:dyDescent="0.2">
      <c r="B6" s="78">
        <v>24</v>
      </c>
      <c r="C6" s="30" t="s">
        <v>81</v>
      </c>
      <c r="D6" s="30" t="s">
        <v>36</v>
      </c>
      <c r="E6" s="30" t="s">
        <v>6</v>
      </c>
      <c r="F6" s="20">
        <v>1585.51</v>
      </c>
      <c r="G6" s="83">
        <v>58268.88</v>
      </c>
      <c r="H6" s="20" t="s">
        <v>9</v>
      </c>
      <c r="I6" s="84">
        <v>4559.54</v>
      </c>
      <c r="J6" s="20">
        <f t="shared" si="0"/>
        <v>6656.9283999999998</v>
      </c>
      <c r="K6" s="84">
        <f>J6*G6/103998.19</f>
        <v>3729.7933945599625</v>
      </c>
      <c r="L6" s="84">
        <v>3729.7933945599625</v>
      </c>
      <c r="M6" s="84">
        <f t="shared" si="1"/>
        <v>5032.9552000000003</v>
      </c>
      <c r="N6" s="48">
        <f t="shared" si="2"/>
        <v>0.74107422902551612</v>
      </c>
      <c r="O6" s="6"/>
    </row>
    <row r="7" spans="2:15" x14ac:dyDescent="0.2">
      <c r="B7" s="78">
        <v>9</v>
      </c>
      <c r="C7" s="30" t="s">
        <v>66</v>
      </c>
      <c r="D7" s="30" t="s">
        <v>24</v>
      </c>
      <c r="E7" s="30" t="s">
        <v>6</v>
      </c>
      <c r="F7" s="20">
        <v>1730.71</v>
      </c>
      <c r="G7" s="83">
        <v>56614.57</v>
      </c>
      <c r="H7" s="84" t="s">
        <v>147</v>
      </c>
      <c r="I7" s="84">
        <v>4664.8100000000004</v>
      </c>
      <c r="J7" s="20">
        <f t="shared" si="0"/>
        <v>6810.6226000000006</v>
      </c>
      <c r="K7" s="84" t="s">
        <v>147</v>
      </c>
      <c r="L7" s="20">
        <f>1.46*I7</f>
        <v>6810.6226000000006</v>
      </c>
      <c r="M7" s="84">
        <f t="shared" si="1"/>
        <v>5032.9552000000003</v>
      </c>
      <c r="N7" s="48">
        <f t="shared" si="2"/>
        <v>1</v>
      </c>
      <c r="O7" s="6"/>
    </row>
    <row r="8" spans="2:15" x14ac:dyDescent="0.2">
      <c r="B8" s="78">
        <v>5</v>
      </c>
      <c r="C8" s="30" t="s">
        <v>62</v>
      </c>
      <c r="D8" s="30" t="s">
        <v>10</v>
      </c>
      <c r="E8" s="30" t="s">
        <v>11</v>
      </c>
      <c r="F8" s="20">
        <v>1760.46</v>
      </c>
      <c r="G8" s="83">
        <v>10310.549999999999</v>
      </c>
      <c r="H8" s="84" t="s">
        <v>147</v>
      </c>
      <c r="I8" s="84">
        <v>6671.68</v>
      </c>
      <c r="J8" s="20">
        <f t="shared" si="0"/>
        <v>9740.6527999999998</v>
      </c>
      <c r="K8" s="84" t="s">
        <v>147</v>
      </c>
      <c r="L8" s="20">
        <f>1.46*I8</f>
        <v>9740.6527999999998</v>
      </c>
      <c r="M8" s="84">
        <f t="shared" si="1"/>
        <v>5032.9552000000003</v>
      </c>
      <c r="N8" s="48">
        <f t="shared" si="2"/>
        <v>1</v>
      </c>
      <c r="O8" s="6"/>
    </row>
    <row r="9" spans="2:15" x14ac:dyDescent="0.2">
      <c r="B9" s="78">
        <v>44</v>
      </c>
      <c r="C9" s="30" t="s">
        <v>101</v>
      </c>
      <c r="D9" s="30" t="s">
        <v>47</v>
      </c>
      <c r="E9" s="30" t="s">
        <v>4</v>
      </c>
      <c r="F9" s="20">
        <v>1370.49</v>
      </c>
      <c r="G9" s="83">
        <v>5192.4799999999996</v>
      </c>
      <c r="H9" s="20" t="s">
        <v>23</v>
      </c>
      <c r="I9" s="84">
        <v>4672.8900000000003</v>
      </c>
      <c r="J9" s="20">
        <f t="shared" si="0"/>
        <v>6822.4194000000007</v>
      </c>
      <c r="K9" s="84">
        <f>J9*G9/4181.14</f>
        <v>8472.6357610871673</v>
      </c>
      <c r="L9" s="84">
        <v>8472.6357610871673</v>
      </c>
      <c r="M9" s="84">
        <f t="shared" si="1"/>
        <v>5032.9552000000003</v>
      </c>
      <c r="N9" s="48">
        <f t="shared" si="2"/>
        <v>1</v>
      </c>
      <c r="O9" s="6"/>
    </row>
    <row r="10" spans="2:15" x14ac:dyDescent="0.2">
      <c r="B10" s="78">
        <v>28</v>
      </c>
      <c r="C10" s="30" t="s">
        <v>85</v>
      </c>
      <c r="D10" s="30" t="s">
        <v>7</v>
      </c>
      <c r="E10" s="30" t="s">
        <v>2</v>
      </c>
      <c r="F10" s="20">
        <v>1559.15</v>
      </c>
      <c r="G10" s="83">
        <v>54340.35</v>
      </c>
      <c r="H10" s="84" t="s">
        <v>147</v>
      </c>
      <c r="I10" s="84">
        <v>4655.8500000000004</v>
      </c>
      <c r="J10" s="20">
        <f t="shared" si="0"/>
        <v>6797.5410000000002</v>
      </c>
      <c r="K10" s="84" t="s">
        <v>147</v>
      </c>
      <c r="L10" s="20">
        <f>1.46*I10</f>
        <v>6797.5410000000002</v>
      </c>
      <c r="M10" s="84">
        <f t="shared" si="1"/>
        <v>5032.9552000000003</v>
      </c>
      <c r="N10" s="48">
        <f t="shared" si="2"/>
        <v>1</v>
      </c>
      <c r="O10" s="6"/>
    </row>
    <row r="11" spans="2:15" x14ac:dyDescent="0.2">
      <c r="B11" s="78">
        <v>14</v>
      </c>
      <c r="C11" s="30" t="s">
        <v>71</v>
      </c>
      <c r="D11" s="30" t="s">
        <v>40</v>
      </c>
      <c r="E11" s="30" t="s">
        <v>11</v>
      </c>
      <c r="F11" s="20">
        <v>1701.3</v>
      </c>
      <c r="G11" s="83">
        <v>7919.21</v>
      </c>
      <c r="H11" s="20" t="s">
        <v>34</v>
      </c>
      <c r="I11" s="84">
        <v>8303.35</v>
      </c>
      <c r="J11" s="20">
        <f t="shared" si="0"/>
        <v>12122.891</v>
      </c>
      <c r="K11" s="84">
        <f>J11*G11/13969.78</f>
        <v>6872.2427723349965</v>
      </c>
      <c r="L11" s="84">
        <v>6872.2427723349965</v>
      </c>
      <c r="M11" s="84">
        <f t="shared" si="1"/>
        <v>5032.9552000000003</v>
      </c>
      <c r="N11" s="48">
        <f t="shared" si="2"/>
        <v>1</v>
      </c>
      <c r="O11" s="6"/>
    </row>
    <row r="12" spans="2:15" x14ac:dyDescent="0.2">
      <c r="B12" s="78">
        <v>33</v>
      </c>
      <c r="C12" s="30" t="s">
        <v>90</v>
      </c>
      <c r="D12" s="30" t="s">
        <v>48</v>
      </c>
      <c r="E12" s="30" t="s">
        <v>4</v>
      </c>
      <c r="F12" s="20">
        <v>1522.48</v>
      </c>
      <c r="G12" s="83">
        <v>2727.89</v>
      </c>
      <c r="H12" s="20" t="s">
        <v>43</v>
      </c>
      <c r="I12" s="84">
        <v>4735.24</v>
      </c>
      <c r="J12" s="20">
        <f t="shared" si="0"/>
        <v>6913.4503999999997</v>
      </c>
      <c r="K12" s="84">
        <f>J12*G12/2390.77</f>
        <v>7888.3088760759074</v>
      </c>
      <c r="L12" s="84">
        <v>7888.3088760759074</v>
      </c>
      <c r="M12" s="84">
        <f t="shared" si="1"/>
        <v>5032.9552000000003</v>
      </c>
      <c r="N12" s="48">
        <f t="shared" si="2"/>
        <v>1</v>
      </c>
      <c r="O12" s="6"/>
    </row>
    <row r="13" spans="2:15" x14ac:dyDescent="0.2">
      <c r="B13" s="78">
        <v>11</v>
      </c>
      <c r="C13" s="30" t="s">
        <v>68</v>
      </c>
      <c r="D13" s="30" t="s">
        <v>42</v>
      </c>
      <c r="E13" s="30" t="s">
        <v>6</v>
      </c>
      <c r="F13" s="20">
        <v>1716.88</v>
      </c>
      <c r="G13" s="83">
        <v>24050.44</v>
      </c>
      <c r="H13" s="84" t="s">
        <v>147</v>
      </c>
      <c r="I13" s="84">
        <v>5248.7</v>
      </c>
      <c r="J13" s="20">
        <f t="shared" si="0"/>
        <v>7663.1019999999999</v>
      </c>
      <c r="K13" s="84" t="s">
        <v>147</v>
      </c>
      <c r="L13" s="20">
        <f>1.46*I13</f>
        <v>7663.1019999999999</v>
      </c>
      <c r="M13" s="84">
        <f t="shared" si="1"/>
        <v>5032.9552000000003</v>
      </c>
      <c r="N13" s="48">
        <f t="shared" si="2"/>
        <v>1</v>
      </c>
      <c r="O13" s="6"/>
    </row>
    <row r="14" spans="2:15" x14ac:dyDescent="0.2">
      <c r="B14" s="78">
        <v>46</v>
      </c>
      <c r="C14" s="30" t="s">
        <v>103</v>
      </c>
      <c r="D14" s="30" t="s">
        <v>19</v>
      </c>
      <c r="E14" s="30" t="s">
        <v>2</v>
      </c>
      <c r="F14" s="20">
        <v>1302.7</v>
      </c>
      <c r="G14" s="83">
        <v>22832.89</v>
      </c>
      <c r="H14" s="20" t="s">
        <v>7</v>
      </c>
      <c r="I14" s="84">
        <v>4655.8500000000004</v>
      </c>
      <c r="J14" s="20">
        <f t="shared" si="0"/>
        <v>6797.5410000000002</v>
      </c>
      <c r="K14" s="84">
        <f>J14*G14/54340.35</f>
        <v>2856.2110093786659</v>
      </c>
      <c r="L14" s="84">
        <v>2856.2110093786659</v>
      </c>
      <c r="M14" s="84">
        <f t="shared" si="1"/>
        <v>5032.9552000000003</v>
      </c>
      <c r="N14" s="48">
        <f t="shared" si="2"/>
        <v>0.56750177497679011</v>
      </c>
      <c r="O14" s="6"/>
    </row>
    <row r="15" spans="2:15" x14ac:dyDescent="0.2">
      <c r="B15" s="78">
        <v>21</v>
      </c>
      <c r="C15" s="30" t="s">
        <v>78</v>
      </c>
      <c r="D15" s="30" t="s">
        <v>54</v>
      </c>
      <c r="E15" s="30" t="s">
        <v>6</v>
      </c>
      <c r="F15" s="20">
        <v>1616.75</v>
      </c>
      <c r="G15" s="83">
        <v>71026.48</v>
      </c>
      <c r="H15" s="84" t="s">
        <v>147</v>
      </c>
      <c r="I15" s="84">
        <v>4623.42</v>
      </c>
      <c r="J15" s="20">
        <f t="shared" si="0"/>
        <v>6750.1931999999997</v>
      </c>
      <c r="K15" s="84" t="s">
        <v>147</v>
      </c>
      <c r="L15" s="20">
        <f>1.46*I15</f>
        <v>6750.1931999999997</v>
      </c>
      <c r="M15" s="84">
        <f t="shared" si="1"/>
        <v>5032.9552000000003</v>
      </c>
      <c r="N15" s="48">
        <f t="shared" si="2"/>
        <v>1</v>
      </c>
      <c r="O15" s="6"/>
    </row>
    <row r="16" spans="2:15" x14ac:dyDescent="0.2">
      <c r="B16" s="78">
        <v>37</v>
      </c>
      <c r="C16" s="30" t="s">
        <v>94</v>
      </c>
      <c r="D16" s="30" t="s">
        <v>50</v>
      </c>
      <c r="E16" s="30" t="s">
        <v>4</v>
      </c>
      <c r="F16" s="20">
        <v>1468.22</v>
      </c>
      <c r="G16" s="83">
        <v>649.38</v>
      </c>
      <c r="H16" s="20" t="s">
        <v>12</v>
      </c>
      <c r="I16" s="84">
        <v>5420.14</v>
      </c>
      <c r="J16" s="20">
        <f t="shared" si="0"/>
        <v>7913.4044000000004</v>
      </c>
      <c r="K16" s="84">
        <f>J16*G16/4153.19</f>
        <v>1237.3155452247549</v>
      </c>
      <c r="L16" s="84">
        <v>1237.3155452247549</v>
      </c>
      <c r="M16" s="84">
        <f t="shared" si="1"/>
        <v>5032.9552000000003</v>
      </c>
      <c r="N16" s="48">
        <f t="shared" si="2"/>
        <v>0.24584274964830899</v>
      </c>
      <c r="O16" s="6"/>
    </row>
    <row r="17" spans="2:15" x14ac:dyDescent="0.2">
      <c r="B17" s="78">
        <v>23</v>
      </c>
      <c r="C17" s="30" t="s">
        <v>80</v>
      </c>
      <c r="D17" s="30" t="s">
        <v>20</v>
      </c>
      <c r="E17" s="30" t="s">
        <v>11</v>
      </c>
      <c r="F17" s="20">
        <v>1591.73</v>
      </c>
      <c r="G17" s="83">
        <v>6874.71</v>
      </c>
      <c r="H17" s="84" t="s">
        <v>147</v>
      </c>
      <c r="I17" s="84">
        <v>5706.57</v>
      </c>
      <c r="J17" s="20">
        <f t="shared" si="0"/>
        <v>8331.5921999999991</v>
      </c>
      <c r="K17" s="84" t="s">
        <v>147</v>
      </c>
      <c r="L17" s="20">
        <f>1.46*I17</f>
        <v>8331.5921999999991</v>
      </c>
      <c r="M17" s="84">
        <f t="shared" si="1"/>
        <v>5032.9552000000003</v>
      </c>
      <c r="N17" s="48">
        <f t="shared" si="2"/>
        <v>1</v>
      </c>
      <c r="O17" s="6"/>
    </row>
    <row r="18" spans="2:15" x14ac:dyDescent="0.2">
      <c r="B18" s="78">
        <v>30</v>
      </c>
      <c r="C18" s="30" t="s">
        <v>87</v>
      </c>
      <c r="D18" s="30" t="s">
        <v>25</v>
      </c>
      <c r="E18" s="30" t="s">
        <v>4</v>
      </c>
      <c r="F18" s="20">
        <v>1556.71</v>
      </c>
      <c r="G18" s="83">
        <v>3338.47</v>
      </c>
      <c r="H18" s="20" t="s">
        <v>12</v>
      </c>
      <c r="I18" s="84">
        <v>5420.14</v>
      </c>
      <c r="J18" s="20">
        <f t="shared" si="0"/>
        <v>7913.4044000000004</v>
      </c>
      <c r="K18" s="84">
        <f>J18*G18/4153.19</f>
        <v>6361.0533559187043</v>
      </c>
      <c r="L18" s="84">
        <v>6361.0533559187043</v>
      </c>
      <c r="M18" s="84">
        <f t="shared" si="1"/>
        <v>5032.9552000000003</v>
      </c>
      <c r="N18" s="48">
        <f t="shared" si="2"/>
        <v>1</v>
      </c>
      <c r="O18" s="6"/>
    </row>
    <row r="19" spans="2:15" x14ac:dyDescent="0.2">
      <c r="B19" s="78">
        <v>4</v>
      </c>
      <c r="C19" s="30" t="s">
        <v>61</v>
      </c>
      <c r="D19" s="30" t="s">
        <v>41</v>
      </c>
      <c r="E19" s="30" t="s">
        <v>6</v>
      </c>
      <c r="F19" s="20">
        <v>1834.12</v>
      </c>
      <c r="G19" s="83">
        <v>53246.37</v>
      </c>
      <c r="H19" s="84" t="s">
        <v>147</v>
      </c>
      <c r="I19" s="84">
        <v>6398.57</v>
      </c>
      <c r="J19" s="20">
        <f t="shared" si="0"/>
        <v>9341.9121999999988</v>
      </c>
      <c r="K19" s="84" t="s">
        <v>147</v>
      </c>
      <c r="L19" s="20">
        <f>1.46*I19</f>
        <v>9341.9121999999988</v>
      </c>
      <c r="M19" s="84">
        <f t="shared" si="1"/>
        <v>5032.9552000000003</v>
      </c>
      <c r="N19" s="48">
        <f t="shared" si="2"/>
        <v>1</v>
      </c>
      <c r="O19" s="6"/>
    </row>
    <row r="20" spans="2:15" x14ac:dyDescent="0.2">
      <c r="B20" s="78">
        <v>3</v>
      </c>
      <c r="C20" s="30" t="s">
        <v>60</v>
      </c>
      <c r="D20" s="30" t="s">
        <v>31</v>
      </c>
      <c r="E20" s="30" t="s">
        <v>6</v>
      </c>
      <c r="F20" s="20">
        <v>1870</v>
      </c>
      <c r="G20" s="83">
        <v>46103.08</v>
      </c>
      <c r="H20" s="84" t="s">
        <v>147</v>
      </c>
      <c r="I20" s="84">
        <v>5436.08</v>
      </c>
      <c r="J20" s="20">
        <f t="shared" si="0"/>
        <v>7936.6767999999993</v>
      </c>
      <c r="K20" s="84" t="s">
        <v>147</v>
      </c>
      <c r="L20" s="20">
        <f>1.46*I20</f>
        <v>7936.6767999999993</v>
      </c>
      <c r="M20" s="84">
        <f t="shared" si="1"/>
        <v>5032.9552000000003</v>
      </c>
      <c r="N20" s="48">
        <f t="shared" si="2"/>
        <v>1</v>
      </c>
      <c r="O20" s="6"/>
    </row>
    <row r="21" spans="2:15" x14ac:dyDescent="0.2">
      <c r="B21" s="78">
        <v>10</v>
      </c>
      <c r="C21" s="30" t="s">
        <v>67</v>
      </c>
      <c r="D21" s="30" t="s">
        <v>18</v>
      </c>
      <c r="E21" s="30" t="s">
        <v>6</v>
      </c>
      <c r="F21" s="20">
        <v>1724.15</v>
      </c>
      <c r="G21" s="83">
        <v>56103.73</v>
      </c>
      <c r="H21" s="84" t="s">
        <v>147</v>
      </c>
      <c r="I21" s="84">
        <v>5407.47</v>
      </c>
      <c r="J21" s="20">
        <f t="shared" si="0"/>
        <v>7894.9062000000004</v>
      </c>
      <c r="K21" s="84" t="s">
        <v>147</v>
      </c>
      <c r="L21" s="20">
        <f>1.46*I21</f>
        <v>7894.9062000000004</v>
      </c>
      <c r="M21" s="84">
        <f t="shared" si="1"/>
        <v>5032.9552000000003</v>
      </c>
      <c r="N21" s="48">
        <f t="shared" si="2"/>
        <v>1</v>
      </c>
      <c r="O21" s="6"/>
    </row>
    <row r="22" spans="2:15" x14ac:dyDescent="0.2">
      <c r="B22" s="78">
        <v>45</v>
      </c>
      <c r="C22" s="30" t="s">
        <v>102</v>
      </c>
      <c r="D22" s="30" t="s">
        <v>43</v>
      </c>
      <c r="E22" s="30" t="s">
        <v>4</v>
      </c>
      <c r="F22" s="20">
        <v>1351.09</v>
      </c>
      <c r="G22" s="83">
        <v>2390.77</v>
      </c>
      <c r="H22" s="84" t="s">
        <v>147</v>
      </c>
      <c r="I22" s="84">
        <v>4735.24</v>
      </c>
      <c r="J22" s="20">
        <f t="shared" si="0"/>
        <v>6913.4503999999997</v>
      </c>
      <c r="K22" s="84" t="s">
        <v>147</v>
      </c>
      <c r="L22" s="20">
        <f>1.46*I22</f>
        <v>6913.4503999999997</v>
      </c>
      <c r="M22" s="84">
        <f t="shared" si="1"/>
        <v>5032.9552000000003</v>
      </c>
      <c r="N22" s="48">
        <f t="shared" si="2"/>
        <v>1</v>
      </c>
      <c r="O22" s="6"/>
    </row>
    <row r="23" spans="2:15" x14ac:dyDescent="0.2">
      <c r="B23" s="78">
        <v>47</v>
      </c>
      <c r="C23" s="30" t="s">
        <v>104</v>
      </c>
      <c r="D23" s="30" t="s">
        <v>13</v>
      </c>
      <c r="E23" s="30" t="s">
        <v>2</v>
      </c>
      <c r="F23" s="20">
        <v>1294.49</v>
      </c>
      <c r="G23" s="83">
        <v>2142.62</v>
      </c>
      <c r="H23" s="20" t="s">
        <v>7</v>
      </c>
      <c r="I23" s="84">
        <v>4655.8500000000004</v>
      </c>
      <c r="J23" s="20">
        <f t="shared" si="0"/>
        <v>6797.5410000000002</v>
      </c>
      <c r="K23" s="84">
        <f>J23*G23/54340.35</f>
        <v>268.02453972821297</v>
      </c>
      <c r="L23" s="84">
        <v>268.02453972821297</v>
      </c>
      <c r="M23" s="84">
        <f t="shared" si="1"/>
        <v>5032.9552000000003</v>
      </c>
      <c r="N23" s="48">
        <f t="shared" si="2"/>
        <v>5.325390929929457E-2</v>
      </c>
      <c r="O23" s="6"/>
    </row>
    <row r="24" spans="2:15" x14ac:dyDescent="0.2">
      <c r="B24" s="78">
        <v>20</v>
      </c>
      <c r="C24" s="30" t="s">
        <v>77</v>
      </c>
      <c r="D24" s="30" t="s">
        <v>26</v>
      </c>
      <c r="E24" s="30" t="s">
        <v>5</v>
      </c>
      <c r="F24" s="20">
        <v>1617.02</v>
      </c>
      <c r="G24" s="83">
        <v>5190.17</v>
      </c>
      <c r="H24" s="84" t="s">
        <v>147</v>
      </c>
      <c r="I24" s="84">
        <v>4795.95</v>
      </c>
      <c r="J24" s="20">
        <f t="shared" si="0"/>
        <v>7002.0869999999995</v>
      </c>
      <c r="K24" s="84" t="s">
        <v>147</v>
      </c>
      <c r="L24" s="20">
        <f>1.46*I24</f>
        <v>7002.0869999999995</v>
      </c>
      <c r="M24" s="84">
        <f t="shared" si="1"/>
        <v>5032.9552000000003</v>
      </c>
      <c r="N24" s="48">
        <f t="shared" si="2"/>
        <v>1</v>
      </c>
      <c r="O24" s="6"/>
    </row>
    <row r="25" spans="2:15" x14ac:dyDescent="0.2">
      <c r="B25" s="78">
        <v>40</v>
      </c>
      <c r="C25" s="30" t="s">
        <v>97</v>
      </c>
      <c r="D25" s="30" t="s">
        <v>51</v>
      </c>
      <c r="E25" s="30" t="s">
        <v>5</v>
      </c>
      <c r="F25" s="20">
        <v>1436.04</v>
      </c>
      <c r="G25" s="83">
        <v>6073.61</v>
      </c>
      <c r="H25" s="20" t="s">
        <v>46</v>
      </c>
      <c r="I25" s="84">
        <v>4739.0600000000004</v>
      </c>
      <c r="J25" s="20">
        <f t="shared" si="0"/>
        <v>6919.0276000000003</v>
      </c>
      <c r="K25" s="84">
        <f>J25*G25/36238.64</f>
        <v>1159.631686554352</v>
      </c>
      <c r="L25" s="84">
        <v>1159.631686554352</v>
      </c>
      <c r="M25" s="84">
        <f t="shared" si="1"/>
        <v>5032.9552000000003</v>
      </c>
      <c r="N25" s="48">
        <f t="shared" si="2"/>
        <v>0.23040771087220324</v>
      </c>
      <c r="O25" s="6"/>
    </row>
    <row r="26" spans="2:15" x14ac:dyDescent="0.2">
      <c r="B26" s="78">
        <v>13</v>
      </c>
      <c r="C26" s="30" t="s">
        <v>70</v>
      </c>
      <c r="D26" s="30" t="s">
        <v>55</v>
      </c>
      <c r="E26" s="30" t="s">
        <v>6</v>
      </c>
      <c r="F26" s="20">
        <v>1702.06</v>
      </c>
      <c r="G26" s="83">
        <v>40385.339999999997</v>
      </c>
      <c r="H26" s="20" t="s">
        <v>41</v>
      </c>
      <c r="I26" s="84">
        <v>6398.57</v>
      </c>
      <c r="J26" s="20">
        <f t="shared" si="0"/>
        <v>9341.9121999999988</v>
      </c>
      <c r="K26" s="84">
        <f>J26*G26/53246.37</f>
        <v>7085.4839578199953</v>
      </c>
      <c r="L26" s="84">
        <v>7085.4839578199953</v>
      </c>
      <c r="M26" s="84">
        <f t="shared" si="1"/>
        <v>5032.9552000000003</v>
      </c>
      <c r="N26" s="48">
        <f t="shared" si="2"/>
        <v>1</v>
      </c>
      <c r="O26" s="6"/>
    </row>
    <row r="27" spans="2:15" x14ac:dyDescent="0.2">
      <c r="B27" s="78">
        <v>19</v>
      </c>
      <c r="C27" s="30" t="s">
        <v>76</v>
      </c>
      <c r="D27" s="30" t="s">
        <v>22</v>
      </c>
      <c r="E27" s="30" t="s">
        <v>5</v>
      </c>
      <c r="F27" s="20">
        <v>1650.12</v>
      </c>
      <c r="G27" s="83">
        <v>32487.08</v>
      </c>
      <c r="H27" s="84" t="s">
        <v>147</v>
      </c>
      <c r="I27" s="84">
        <v>4626.26</v>
      </c>
      <c r="J27" s="20">
        <f t="shared" si="0"/>
        <v>6754.3396000000002</v>
      </c>
      <c r="K27" s="84" t="s">
        <v>147</v>
      </c>
      <c r="L27" s="20">
        <f>1.46*I27</f>
        <v>6754.3396000000002</v>
      </c>
      <c r="M27" s="84">
        <f t="shared" si="1"/>
        <v>5032.9552000000003</v>
      </c>
      <c r="N27" s="48">
        <f t="shared" si="2"/>
        <v>1</v>
      </c>
      <c r="O27" s="6"/>
    </row>
    <row r="28" spans="2:15" x14ac:dyDescent="0.2">
      <c r="B28" s="78">
        <v>43</v>
      </c>
      <c r="C28" s="30" t="s">
        <v>100</v>
      </c>
      <c r="D28" s="30" t="s">
        <v>37</v>
      </c>
      <c r="E28" s="30" t="s">
        <v>5</v>
      </c>
      <c r="F28" s="20">
        <v>1388.93</v>
      </c>
      <c r="G28" s="83">
        <v>4618.1000000000004</v>
      </c>
      <c r="H28" s="20" t="s">
        <v>8</v>
      </c>
      <c r="I28" s="84">
        <v>6404.69</v>
      </c>
      <c r="J28" s="20">
        <f t="shared" si="0"/>
        <v>9350.8473999999987</v>
      </c>
      <c r="K28" s="84">
        <f>J28*G28/76688.69</f>
        <v>563.09670145545579</v>
      </c>
      <c r="L28" s="84">
        <v>563.09670145545579</v>
      </c>
      <c r="M28" s="84">
        <f t="shared" si="1"/>
        <v>5032.9552000000003</v>
      </c>
      <c r="N28" s="48">
        <f t="shared" si="2"/>
        <v>0.11188192206746758</v>
      </c>
      <c r="O28" s="6"/>
    </row>
    <row r="29" spans="2:15" x14ac:dyDescent="0.2">
      <c r="B29" s="78">
        <v>22</v>
      </c>
      <c r="C29" s="30" t="s">
        <v>79</v>
      </c>
      <c r="D29" s="30" t="s">
        <v>46</v>
      </c>
      <c r="E29" s="30" t="s">
        <v>5</v>
      </c>
      <c r="F29" s="20">
        <v>1599.45</v>
      </c>
      <c r="G29" s="83">
        <v>36238.639999999999</v>
      </c>
      <c r="H29" s="84" t="s">
        <v>147</v>
      </c>
      <c r="I29" s="84">
        <v>4739.0600000000004</v>
      </c>
      <c r="J29" s="20">
        <f t="shared" si="0"/>
        <v>6919.0276000000003</v>
      </c>
      <c r="K29" s="84" t="s">
        <v>147</v>
      </c>
      <c r="L29" s="20">
        <f>1.46*I29</f>
        <v>6919.0276000000003</v>
      </c>
      <c r="M29" s="84">
        <f t="shared" si="1"/>
        <v>5032.9552000000003</v>
      </c>
      <c r="N29" s="48">
        <f t="shared" si="2"/>
        <v>1</v>
      </c>
      <c r="O29" s="6"/>
    </row>
    <row r="30" spans="2:15" x14ac:dyDescent="0.2">
      <c r="B30" s="78">
        <v>16</v>
      </c>
      <c r="C30" s="30" t="s">
        <v>73</v>
      </c>
      <c r="D30" s="30" t="s">
        <v>1</v>
      </c>
      <c r="E30" s="30" t="s">
        <v>2</v>
      </c>
      <c r="F30" s="20">
        <v>1675.75</v>
      </c>
      <c r="G30" s="83">
        <v>14185.78</v>
      </c>
      <c r="H30" s="84" t="s">
        <v>147</v>
      </c>
      <c r="I30" s="84">
        <v>7764.88</v>
      </c>
      <c r="J30" s="20">
        <f t="shared" si="0"/>
        <v>11336.7248</v>
      </c>
      <c r="K30" s="84" t="s">
        <v>147</v>
      </c>
      <c r="L30" s="20">
        <f>1.46*I30</f>
        <v>11336.7248</v>
      </c>
      <c r="M30" s="84">
        <f t="shared" si="1"/>
        <v>5032.9552000000003</v>
      </c>
      <c r="N30" s="48">
        <f t="shared" si="2"/>
        <v>1</v>
      </c>
      <c r="O30" s="6"/>
    </row>
    <row r="31" spans="2:15" x14ac:dyDescent="0.2">
      <c r="B31" s="78">
        <v>8</v>
      </c>
      <c r="C31" s="30" t="s">
        <v>65</v>
      </c>
      <c r="D31" s="30" t="s">
        <v>12</v>
      </c>
      <c r="E31" s="30" t="s">
        <v>4</v>
      </c>
      <c r="F31" s="20">
        <v>1736.57</v>
      </c>
      <c r="G31" s="83">
        <v>4153.1899999999996</v>
      </c>
      <c r="H31" s="84" t="s">
        <v>147</v>
      </c>
      <c r="I31" s="84">
        <v>5420.14</v>
      </c>
      <c r="J31" s="20">
        <f t="shared" si="0"/>
        <v>7913.4044000000004</v>
      </c>
      <c r="K31" s="84" t="s">
        <v>147</v>
      </c>
      <c r="L31" s="20">
        <f>1.46*I31</f>
        <v>7913.4044000000004</v>
      </c>
      <c r="M31" s="84">
        <f t="shared" si="1"/>
        <v>5032.9552000000003</v>
      </c>
      <c r="N31" s="48">
        <f t="shared" si="2"/>
        <v>1</v>
      </c>
      <c r="O31" s="6"/>
    </row>
    <row r="32" spans="2:15" x14ac:dyDescent="0.2">
      <c r="B32" s="78">
        <v>7</v>
      </c>
      <c r="C32" s="30" t="s">
        <v>64</v>
      </c>
      <c r="D32" s="30" t="s">
        <v>21</v>
      </c>
      <c r="E32" s="30" t="s">
        <v>6</v>
      </c>
      <c r="F32" s="20">
        <v>1756.27</v>
      </c>
      <c r="G32" s="83">
        <v>67520.42</v>
      </c>
      <c r="H32" s="84" t="s">
        <v>147</v>
      </c>
      <c r="I32" s="84">
        <v>6326.94</v>
      </c>
      <c r="J32" s="20">
        <f t="shared" si="0"/>
        <v>9237.3323999999993</v>
      </c>
      <c r="K32" s="84" t="s">
        <v>147</v>
      </c>
      <c r="L32" s="20">
        <f>1.46*I32</f>
        <v>9237.3323999999993</v>
      </c>
      <c r="M32" s="84">
        <f t="shared" si="1"/>
        <v>5032.9552000000003</v>
      </c>
      <c r="N32" s="48">
        <f t="shared" si="2"/>
        <v>1</v>
      </c>
      <c r="O32" s="6"/>
    </row>
    <row r="33" spans="2:15" x14ac:dyDescent="0.2">
      <c r="B33" s="78">
        <v>48</v>
      </c>
      <c r="C33" s="30" t="s">
        <v>105</v>
      </c>
      <c r="D33" s="30" t="s">
        <v>27</v>
      </c>
      <c r="E33" s="30" t="s">
        <v>49</v>
      </c>
      <c r="F33" s="20">
        <v>1279.25</v>
      </c>
      <c r="G33" s="83">
        <v>49205.18</v>
      </c>
      <c r="H33" s="84" t="s">
        <v>54</v>
      </c>
      <c r="I33" s="84">
        <v>4623.42</v>
      </c>
      <c r="J33" s="20">
        <f t="shared" si="0"/>
        <v>6750.1931999999997</v>
      </c>
      <c r="K33" s="84">
        <f>J33*G33/71026.48</f>
        <v>4676.347067189251</v>
      </c>
      <c r="L33" s="84">
        <v>4676.347067189251</v>
      </c>
      <c r="M33" s="84">
        <f t="shared" si="1"/>
        <v>5032.9552000000003</v>
      </c>
      <c r="N33" s="48">
        <f t="shared" si="2"/>
        <v>0.92914537907852834</v>
      </c>
      <c r="O33" s="6"/>
    </row>
    <row r="34" spans="2:15" x14ac:dyDescent="0.2">
      <c r="B34" s="78">
        <v>31</v>
      </c>
      <c r="C34" s="30" t="s">
        <v>88</v>
      </c>
      <c r="D34" s="30" t="s">
        <v>33</v>
      </c>
      <c r="E34" s="30" t="s">
        <v>6</v>
      </c>
      <c r="F34" s="20">
        <v>1553.14</v>
      </c>
      <c r="G34" s="83">
        <v>86785.43</v>
      </c>
      <c r="H34" s="20" t="s">
        <v>54</v>
      </c>
      <c r="I34" s="84">
        <v>4623.42</v>
      </c>
      <c r="J34" s="20">
        <f t="shared" si="0"/>
        <v>6750.1931999999997</v>
      </c>
      <c r="K34" s="84">
        <f>J34*G34/71026.48</f>
        <v>8247.8875406056432</v>
      </c>
      <c r="L34" s="84">
        <v>8247.8875406056432</v>
      </c>
      <c r="M34" s="84">
        <f t="shared" si="1"/>
        <v>5032.9552000000003</v>
      </c>
      <c r="N34" s="48">
        <f t="shared" si="2"/>
        <v>1</v>
      </c>
      <c r="O34" s="6"/>
    </row>
    <row r="35" spans="2:15" x14ac:dyDescent="0.2">
      <c r="B35" s="78">
        <v>32</v>
      </c>
      <c r="C35" s="30" t="s">
        <v>89</v>
      </c>
      <c r="D35" s="30" t="s">
        <v>44</v>
      </c>
      <c r="E35" s="30" t="s">
        <v>2</v>
      </c>
      <c r="F35" s="20">
        <v>1539.47</v>
      </c>
      <c r="G35" s="83">
        <v>19161.22</v>
      </c>
      <c r="H35" s="20" t="s">
        <v>7</v>
      </c>
      <c r="I35" s="84">
        <v>4655.8500000000004</v>
      </c>
      <c r="J35" s="20">
        <f t="shared" si="0"/>
        <v>6797.5410000000002</v>
      </c>
      <c r="K35" s="84">
        <f>J35*G35/54340.35</f>
        <v>2396.914605077443</v>
      </c>
      <c r="L35" s="84">
        <v>2396.914605077443</v>
      </c>
      <c r="M35" s="84">
        <f t="shared" si="1"/>
        <v>5032.9552000000003</v>
      </c>
      <c r="N35" s="48">
        <f t="shared" si="2"/>
        <v>0.47624397790734213</v>
      </c>
      <c r="O35" s="6"/>
    </row>
    <row r="36" spans="2:15" x14ac:dyDescent="0.2">
      <c r="B36" s="78">
        <v>35</v>
      </c>
      <c r="C36" s="30" t="s">
        <v>92</v>
      </c>
      <c r="D36" s="30" t="s">
        <v>16</v>
      </c>
      <c r="E36" s="30" t="s">
        <v>11</v>
      </c>
      <c r="F36" s="20">
        <v>1501.5</v>
      </c>
      <c r="G36" s="83">
        <v>6416.1</v>
      </c>
      <c r="H36" s="20" t="s">
        <v>20</v>
      </c>
      <c r="I36" s="84">
        <v>5706.57</v>
      </c>
      <c r="J36" s="20">
        <f t="shared" si="0"/>
        <v>8331.5921999999991</v>
      </c>
      <c r="K36" s="84">
        <f>J36*G36/6874.71</f>
        <v>7775.7939919531145</v>
      </c>
      <c r="L36" s="84">
        <v>7775.7939919531145</v>
      </c>
      <c r="M36" s="84">
        <f t="shared" si="1"/>
        <v>5032.9552000000003</v>
      </c>
      <c r="N36" s="48">
        <f t="shared" si="2"/>
        <v>1</v>
      </c>
      <c r="O36" s="6"/>
    </row>
    <row r="37" spans="2:15" x14ac:dyDescent="0.2">
      <c r="B37" s="78">
        <v>6</v>
      </c>
      <c r="C37" s="30" t="s">
        <v>63</v>
      </c>
      <c r="D37" s="30" t="s">
        <v>38</v>
      </c>
      <c r="E37" s="30" t="s">
        <v>6</v>
      </c>
      <c r="F37" s="20">
        <v>1760.38</v>
      </c>
      <c r="G37" s="83">
        <v>29292.240000000002</v>
      </c>
      <c r="H37" s="84" t="s">
        <v>147</v>
      </c>
      <c r="I37" s="84">
        <v>6625.05</v>
      </c>
      <c r="J37" s="20">
        <f t="shared" si="0"/>
        <v>9672.5730000000003</v>
      </c>
      <c r="K37" s="84" t="s">
        <v>147</v>
      </c>
      <c r="L37" s="20">
        <f>1.46*I37</f>
        <v>9672.5730000000003</v>
      </c>
      <c r="M37" s="84">
        <f t="shared" si="1"/>
        <v>5032.9552000000003</v>
      </c>
      <c r="N37" s="48">
        <f t="shared" si="2"/>
        <v>1</v>
      </c>
      <c r="O37" s="6"/>
    </row>
    <row r="38" spans="2:15" x14ac:dyDescent="0.2">
      <c r="B38" s="78">
        <v>39</v>
      </c>
      <c r="C38" s="30" t="s">
        <v>96</v>
      </c>
      <c r="D38" s="30" t="s">
        <v>8</v>
      </c>
      <c r="E38" s="30" t="s">
        <v>5</v>
      </c>
      <c r="F38" s="20">
        <v>1454.96</v>
      </c>
      <c r="G38" s="83">
        <v>76688.69</v>
      </c>
      <c r="H38" s="84" t="s">
        <v>147</v>
      </c>
      <c r="I38" s="84">
        <v>6404.69</v>
      </c>
      <c r="J38" s="20">
        <f t="shared" si="0"/>
        <v>9350.8473999999987</v>
      </c>
      <c r="K38" s="84" t="s">
        <v>147</v>
      </c>
      <c r="L38" s="20">
        <f>1.46*I38</f>
        <v>9350.8473999999987</v>
      </c>
      <c r="M38" s="84">
        <f t="shared" si="1"/>
        <v>5032.9552000000003</v>
      </c>
      <c r="N38" s="48">
        <f t="shared" si="2"/>
        <v>1</v>
      </c>
      <c r="O38" s="6"/>
    </row>
    <row r="39" spans="2:15" x14ac:dyDescent="0.2">
      <c r="B39" s="78">
        <v>42</v>
      </c>
      <c r="C39" s="30" t="s">
        <v>99</v>
      </c>
      <c r="D39" s="30" t="s">
        <v>29</v>
      </c>
      <c r="E39" s="30" t="s">
        <v>5</v>
      </c>
      <c r="F39" s="20">
        <v>1429.48</v>
      </c>
      <c r="G39" s="83">
        <v>35121.660000000003</v>
      </c>
      <c r="H39" s="84" t="s">
        <v>147</v>
      </c>
      <c r="I39" s="84">
        <v>7908.15</v>
      </c>
      <c r="J39" s="20">
        <f t="shared" si="0"/>
        <v>11545.898999999999</v>
      </c>
      <c r="K39" s="84" t="s">
        <v>147</v>
      </c>
      <c r="L39" s="20">
        <f>1.46*I39</f>
        <v>11545.898999999999</v>
      </c>
      <c r="M39" s="84">
        <f t="shared" si="1"/>
        <v>5032.9552000000003</v>
      </c>
      <c r="N39" s="48">
        <f t="shared" si="2"/>
        <v>1</v>
      </c>
      <c r="O39" s="6"/>
    </row>
    <row r="40" spans="2:15" x14ac:dyDescent="0.2">
      <c r="B40" s="78">
        <v>34</v>
      </c>
      <c r="C40" s="30" t="s">
        <v>91</v>
      </c>
      <c r="D40" s="30" t="s">
        <v>14</v>
      </c>
      <c r="E40" s="30" t="s">
        <v>6</v>
      </c>
      <c r="F40" s="20">
        <v>1506.77</v>
      </c>
      <c r="G40" s="83">
        <v>53246.37</v>
      </c>
      <c r="H40" s="20" t="s">
        <v>54</v>
      </c>
      <c r="I40" s="84">
        <v>4623.42</v>
      </c>
      <c r="J40" s="20">
        <f t="shared" si="0"/>
        <v>6750.1931999999997</v>
      </c>
      <c r="K40" s="84">
        <f>J40*G40/71026.48</f>
        <v>5060.4124644595086</v>
      </c>
      <c r="L40" s="84">
        <v>5060.4124644595086</v>
      </c>
      <c r="M40" s="84">
        <f t="shared" si="1"/>
        <v>5032.9552000000003</v>
      </c>
      <c r="N40" s="48">
        <f t="shared" si="2"/>
        <v>1</v>
      </c>
      <c r="O40" s="6"/>
    </row>
    <row r="41" spans="2:15" x14ac:dyDescent="0.2">
      <c r="B41" s="78">
        <v>12</v>
      </c>
      <c r="C41" s="30" t="s">
        <v>69</v>
      </c>
      <c r="D41" s="30" t="s">
        <v>32</v>
      </c>
      <c r="E41" s="30" t="s">
        <v>4</v>
      </c>
      <c r="F41" s="20">
        <v>1706.83</v>
      </c>
      <c r="G41" s="83">
        <v>1773.22</v>
      </c>
      <c r="H41" s="84" t="s">
        <v>147</v>
      </c>
      <c r="I41" s="84">
        <v>5288.45</v>
      </c>
      <c r="J41" s="20">
        <f t="shared" si="0"/>
        <v>7721.1369999999997</v>
      </c>
      <c r="K41" s="84" t="s">
        <v>147</v>
      </c>
      <c r="L41" s="20">
        <f>1.46*I41</f>
        <v>7721.1369999999997</v>
      </c>
      <c r="M41" s="84">
        <f t="shared" si="1"/>
        <v>5032.9552000000003</v>
      </c>
      <c r="N41" s="48">
        <f t="shared" si="2"/>
        <v>1</v>
      </c>
      <c r="O41" s="6"/>
    </row>
    <row r="42" spans="2:15" x14ac:dyDescent="0.2">
      <c r="B42" s="78">
        <v>41</v>
      </c>
      <c r="C42" s="30" t="s">
        <v>98</v>
      </c>
      <c r="D42" s="30" t="s">
        <v>3</v>
      </c>
      <c r="E42" s="30" t="s">
        <v>4</v>
      </c>
      <c r="F42" s="20">
        <v>1432.76</v>
      </c>
      <c r="G42" s="83">
        <v>6267.19</v>
      </c>
      <c r="H42" s="20" t="s">
        <v>12</v>
      </c>
      <c r="I42" s="84">
        <v>5420.14</v>
      </c>
      <c r="J42" s="20">
        <f t="shared" si="0"/>
        <v>7913.4044000000004</v>
      </c>
      <c r="K42" s="84">
        <f>J42*G42/4153.19</f>
        <v>11941.377332035376</v>
      </c>
      <c r="L42" s="84">
        <v>11941.377332035376</v>
      </c>
      <c r="M42" s="84">
        <f t="shared" si="1"/>
        <v>5032.9552000000003</v>
      </c>
      <c r="N42" s="48">
        <f t="shared" si="2"/>
        <v>1</v>
      </c>
      <c r="O42" s="6"/>
    </row>
    <row r="43" spans="2:15" x14ac:dyDescent="0.2">
      <c r="B43" s="78">
        <v>1</v>
      </c>
      <c r="C43" s="30" t="s">
        <v>58</v>
      </c>
      <c r="D43" s="30" t="s">
        <v>28</v>
      </c>
      <c r="E43" s="30" t="s">
        <v>6</v>
      </c>
      <c r="F43" s="20">
        <v>1877.18</v>
      </c>
      <c r="G43" s="83">
        <v>35326.769999999997</v>
      </c>
      <c r="H43" s="84" t="s">
        <v>147</v>
      </c>
      <c r="I43" s="84">
        <v>5280.58</v>
      </c>
      <c r="J43" s="20">
        <f t="shared" si="0"/>
        <v>7709.6467999999995</v>
      </c>
      <c r="K43" s="84" t="s">
        <v>147</v>
      </c>
      <c r="L43" s="20">
        <f>1.46*I43</f>
        <v>7709.6467999999995</v>
      </c>
      <c r="M43" s="84">
        <f t="shared" si="1"/>
        <v>5032.9552000000003</v>
      </c>
      <c r="N43" s="48">
        <f t="shared" si="2"/>
        <v>1</v>
      </c>
      <c r="O43" s="6"/>
    </row>
    <row r="44" spans="2:15" x14ac:dyDescent="0.2">
      <c r="B44" s="78">
        <v>18</v>
      </c>
      <c r="C44" s="30" t="s">
        <v>75</v>
      </c>
      <c r="D44" s="30" t="s">
        <v>9</v>
      </c>
      <c r="E44" s="30" t="s">
        <v>6</v>
      </c>
      <c r="F44" s="20">
        <v>1654.69</v>
      </c>
      <c r="G44" s="83">
        <v>103998.19</v>
      </c>
      <c r="H44" s="84" t="s">
        <v>147</v>
      </c>
      <c r="I44" s="84">
        <v>4559.54</v>
      </c>
      <c r="J44" s="20">
        <f t="shared" si="0"/>
        <v>6656.9283999999998</v>
      </c>
      <c r="K44" s="84" t="s">
        <v>147</v>
      </c>
      <c r="L44" s="20">
        <f>1.46*I44</f>
        <v>6656.9283999999998</v>
      </c>
      <c r="M44" s="84">
        <f t="shared" si="1"/>
        <v>5032.9552000000003</v>
      </c>
      <c r="N44" s="48">
        <f t="shared" si="2"/>
        <v>1</v>
      </c>
      <c r="O44" s="6"/>
    </row>
    <row r="45" spans="2:15" x14ac:dyDescent="0.2">
      <c r="B45" s="78">
        <v>36</v>
      </c>
      <c r="C45" s="30" t="s">
        <v>93</v>
      </c>
      <c r="D45" s="30" t="s">
        <v>23</v>
      </c>
      <c r="E45" s="30" t="s">
        <v>4</v>
      </c>
      <c r="F45" s="20">
        <v>1479.04</v>
      </c>
      <c r="G45" s="83">
        <v>4181.1400000000003</v>
      </c>
      <c r="H45" s="84" t="s">
        <v>147</v>
      </c>
      <c r="I45" s="84">
        <v>4672.8900000000003</v>
      </c>
      <c r="J45" s="20">
        <f t="shared" si="0"/>
        <v>6822.4194000000007</v>
      </c>
      <c r="K45" s="84" t="s">
        <v>147</v>
      </c>
      <c r="L45" s="20">
        <f>1.46*I45</f>
        <v>6822.4194000000007</v>
      </c>
      <c r="M45" s="84">
        <f t="shared" si="1"/>
        <v>5032.9552000000003</v>
      </c>
      <c r="N45" s="48">
        <f t="shared" si="2"/>
        <v>1</v>
      </c>
      <c r="O45" s="6"/>
    </row>
    <row r="46" spans="2:15" x14ac:dyDescent="0.2">
      <c r="B46" s="78">
        <v>25</v>
      </c>
      <c r="C46" s="30" t="s">
        <v>82</v>
      </c>
      <c r="D46" s="30" t="s">
        <v>53</v>
      </c>
      <c r="E46" s="30" t="s">
        <v>6</v>
      </c>
      <c r="F46" s="20">
        <v>1582.69</v>
      </c>
      <c r="G46" s="83">
        <v>15892.72</v>
      </c>
      <c r="H46" s="20" t="s">
        <v>18</v>
      </c>
      <c r="I46" s="84">
        <v>5407.47</v>
      </c>
      <c r="J46" s="20">
        <f t="shared" si="0"/>
        <v>7894.9062000000004</v>
      </c>
      <c r="K46" s="84">
        <f>J46*G46/56103.73</f>
        <v>2236.4205314488713</v>
      </c>
      <c r="L46" s="84">
        <v>2236.4205314488713</v>
      </c>
      <c r="M46" s="84">
        <f t="shared" si="1"/>
        <v>5032.9552000000003</v>
      </c>
      <c r="N46" s="48">
        <f t="shared" si="2"/>
        <v>0.44435534245344988</v>
      </c>
      <c r="O46" s="6"/>
    </row>
    <row r="47" spans="2:15" x14ac:dyDescent="0.2">
      <c r="B47" s="78">
        <v>29</v>
      </c>
      <c r="C47" s="30" t="s">
        <v>86</v>
      </c>
      <c r="D47" s="30" t="s">
        <v>52</v>
      </c>
      <c r="E47" s="30" t="s">
        <v>6</v>
      </c>
      <c r="F47" s="20">
        <v>1557.47</v>
      </c>
      <c r="G47" s="83">
        <v>5389.47</v>
      </c>
      <c r="H47" s="20" t="s">
        <v>28</v>
      </c>
      <c r="I47" s="84">
        <v>5280.58</v>
      </c>
      <c r="J47" s="20">
        <f t="shared" si="0"/>
        <v>7709.6467999999995</v>
      </c>
      <c r="K47" s="84">
        <f>J47*G47/35326.77</f>
        <v>1176.1876372845863</v>
      </c>
      <c r="L47" s="84">
        <v>1176.1876372845863</v>
      </c>
      <c r="M47" s="84">
        <f t="shared" si="1"/>
        <v>5032.9552000000003</v>
      </c>
      <c r="N47" s="48">
        <f t="shared" si="2"/>
        <v>0.23369721973376323</v>
      </c>
      <c r="O47" s="6"/>
    </row>
    <row r="48" spans="2:15" x14ac:dyDescent="0.2">
      <c r="B48" s="78">
        <v>15</v>
      </c>
      <c r="C48" s="30" t="s">
        <v>72</v>
      </c>
      <c r="D48" s="30" t="s">
        <v>15</v>
      </c>
      <c r="E48" s="30" t="s">
        <v>2</v>
      </c>
      <c r="F48" s="20">
        <v>1681.88</v>
      </c>
      <c r="G48" s="83">
        <v>84534.04</v>
      </c>
      <c r="H48" s="84" t="s">
        <v>147</v>
      </c>
      <c r="I48" s="84">
        <v>5428.77</v>
      </c>
      <c r="J48" s="20">
        <f t="shared" si="0"/>
        <v>7926.0042000000003</v>
      </c>
      <c r="K48" s="84" t="s">
        <v>147</v>
      </c>
      <c r="L48" s="20">
        <f>1.46*I48</f>
        <v>7926.0042000000003</v>
      </c>
      <c r="M48" s="84">
        <f t="shared" si="1"/>
        <v>5032.9552000000003</v>
      </c>
      <c r="N48" s="48">
        <f t="shared" si="2"/>
        <v>1</v>
      </c>
      <c r="O48" s="6"/>
    </row>
    <row r="49" spans="2:15" x14ac:dyDescent="0.2">
      <c r="B49" s="78">
        <v>17</v>
      </c>
      <c r="C49" s="30" t="s">
        <v>74</v>
      </c>
      <c r="D49" s="30" t="s">
        <v>30</v>
      </c>
      <c r="E49" s="30" t="s">
        <v>11</v>
      </c>
      <c r="F49" s="20">
        <v>1672.62</v>
      </c>
      <c r="G49" s="83">
        <v>23906.51</v>
      </c>
      <c r="H49" s="20" t="s">
        <v>20</v>
      </c>
      <c r="I49" s="84">
        <v>5706.57</v>
      </c>
      <c r="J49" s="20">
        <f t="shared" si="0"/>
        <v>8331.5921999999991</v>
      </c>
      <c r="K49" s="84">
        <f>J49*G49/6874.71</f>
        <v>28972.75554099329</v>
      </c>
      <c r="L49" s="84">
        <v>28972.75554099329</v>
      </c>
      <c r="M49" s="84">
        <f t="shared" si="1"/>
        <v>5032.9552000000003</v>
      </c>
      <c r="N49" s="48">
        <f t="shared" si="2"/>
        <v>1</v>
      </c>
      <c r="O49" s="6"/>
    </row>
    <row r="50" spans="2:15" x14ac:dyDescent="0.2">
      <c r="B50" s="85">
        <v>38</v>
      </c>
      <c r="C50" s="57" t="s">
        <v>95</v>
      </c>
      <c r="D50" s="57" t="s">
        <v>39</v>
      </c>
      <c r="E50" s="57" t="s">
        <v>5</v>
      </c>
      <c r="F50" s="22">
        <v>1462.03</v>
      </c>
      <c r="G50" s="58">
        <v>3161.7</v>
      </c>
      <c r="H50" s="22" t="s">
        <v>29</v>
      </c>
      <c r="I50" s="59">
        <v>7908.15</v>
      </c>
      <c r="J50" s="22">
        <f t="shared" si="0"/>
        <v>11545.898999999999</v>
      </c>
      <c r="K50" s="59">
        <f>J50*G50/35121.66</f>
        <v>1039.3776623399917</v>
      </c>
      <c r="L50" s="59">
        <v>1039.3776623399899</v>
      </c>
      <c r="M50" s="59">
        <f t="shared" si="1"/>
        <v>5032.9552000000003</v>
      </c>
      <c r="N50" s="60">
        <f t="shared" si="2"/>
        <v>0.20651438787692564</v>
      </c>
      <c r="O50" s="6"/>
    </row>
    <row r="51" spans="2:15" ht="17" thickBot="1" x14ac:dyDescent="0.25">
      <c r="B51" s="13"/>
      <c r="C51" s="14"/>
      <c r="D51" s="14"/>
      <c r="E51" s="14"/>
      <c r="F51" s="14"/>
      <c r="G51" s="14"/>
      <c r="H51" s="46"/>
      <c r="I51" s="46"/>
      <c r="J51" s="14"/>
      <c r="K51" s="46"/>
      <c r="L51" s="46"/>
      <c r="M51" s="46"/>
      <c r="N51" s="47"/>
      <c r="O51" s="16"/>
    </row>
    <row r="55" spans="2:15" x14ac:dyDescent="0.2">
      <c r="E55" s="43"/>
      <c r="F55" s="4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2BB6-EF23-7D49-89D4-7FB40DF22B02}">
  <dimension ref="B1:M38"/>
  <sheetViews>
    <sheetView zoomScale="130" zoomScaleNormal="130" workbookViewId="0">
      <selection activeCell="I3" sqref="I3:J6"/>
    </sheetView>
  </sheetViews>
  <sheetFormatPr baseColWidth="10" defaultRowHeight="16" x14ac:dyDescent="0.2"/>
  <cols>
    <col min="1" max="1" width="10.83203125" style="7"/>
    <col min="2" max="2" width="3.83203125" style="7" customWidth="1"/>
    <col min="3" max="3" width="28.5" style="7" bestFit="1" customWidth="1"/>
    <col min="4" max="4" width="8.83203125" style="20" bestFit="1" customWidth="1"/>
    <col min="5" max="5" width="8.33203125" style="7" bestFit="1" customWidth="1"/>
    <col min="6" max="6" width="10.83203125" style="20"/>
    <col min="7" max="8" width="3.83203125" style="7" customWidth="1"/>
    <col min="9" max="9" width="17.1640625" style="7" bestFit="1" customWidth="1"/>
    <col min="10" max="11" width="10.83203125" style="7"/>
    <col min="12" max="12" width="21.1640625" style="7" bestFit="1" customWidth="1"/>
    <col min="13" max="16384" width="10.83203125" style="7"/>
  </cols>
  <sheetData>
    <row r="1" spans="2:13" ht="17" thickBot="1" x14ac:dyDescent="0.25"/>
    <row r="2" spans="2:13" x14ac:dyDescent="0.2">
      <c r="B2" s="1"/>
      <c r="C2" s="49" t="s">
        <v>107</v>
      </c>
      <c r="D2" s="49" t="s">
        <v>108</v>
      </c>
      <c r="E2" s="49" t="s">
        <v>109</v>
      </c>
      <c r="F2" s="49" t="s">
        <v>157</v>
      </c>
      <c r="G2" s="4"/>
    </row>
    <row r="3" spans="2:13" x14ac:dyDescent="0.2">
      <c r="B3" s="5"/>
      <c r="C3" s="30" t="s">
        <v>111</v>
      </c>
      <c r="D3" s="21">
        <v>45736</v>
      </c>
      <c r="E3" s="30" t="s">
        <v>7</v>
      </c>
      <c r="F3" s="20">
        <v>2026</v>
      </c>
      <c r="G3" s="6"/>
      <c r="I3" s="42" t="s">
        <v>167</v>
      </c>
      <c r="J3" s="53">
        <f>AVERAGE(D3:D18)</f>
        <v>69134.1875</v>
      </c>
    </row>
    <row r="4" spans="2:13" x14ac:dyDescent="0.2">
      <c r="B4" s="5"/>
      <c r="C4" s="30" t="s">
        <v>110</v>
      </c>
      <c r="D4" s="21">
        <v>54500</v>
      </c>
      <c r="E4" s="30" t="s">
        <v>7</v>
      </c>
      <c r="F4" s="20">
        <v>2026</v>
      </c>
      <c r="G4" s="6"/>
      <c r="I4" s="42" t="s">
        <v>168</v>
      </c>
      <c r="J4" s="53">
        <f>AVERAGE(D19:D26)</f>
        <v>47500</v>
      </c>
    </row>
    <row r="5" spans="2:13" x14ac:dyDescent="0.2">
      <c r="B5" s="5"/>
      <c r="C5" s="30" t="s">
        <v>113</v>
      </c>
      <c r="D5" s="21">
        <v>48071</v>
      </c>
      <c r="E5" s="30" t="s">
        <v>1</v>
      </c>
      <c r="F5" s="20">
        <v>2026</v>
      </c>
      <c r="G5" s="6"/>
      <c r="I5" s="42" t="s">
        <v>169</v>
      </c>
      <c r="J5" s="42">
        <f>J3/J4</f>
        <v>1.4554565789473684</v>
      </c>
    </row>
    <row r="6" spans="2:13" x14ac:dyDescent="0.2">
      <c r="B6" s="5"/>
      <c r="C6" s="30" t="s">
        <v>112</v>
      </c>
      <c r="D6" s="21">
        <v>87523</v>
      </c>
      <c r="E6" s="30" t="s">
        <v>1</v>
      </c>
      <c r="F6" s="20">
        <v>2026</v>
      </c>
      <c r="G6" s="6"/>
      <c r="I6" s="42" t="s">
        <v>170</v>
      </c>
      <c r="J6" s="42">
        <f>ROUND(J5,2)</f>
        <v>1.46</v>
      </c>
    </row>
    <row r="7" spans="2:13" x14ac:dyDescent="0.2">
      <c r="B7" s="5"/>
      <c r="C7" s="30" t="s">
        <v>114</v>
      </c>
      <c r="D7" s="21">
        <v>53460</v>
      </c>
      <c r="E7" s="30" t="s">
        <v>1</v>
      </c>
      <c r="F7" s="20">
        <v>2026</v>
      </c>
      <c r="G7" s="6"/>
    </row>
    <row r="8" spans="2:13" x14ac:dyDescent="0.2">
      <c r="B8" s="5"/>
      <c r="C8" s="30" t="s">
        <v>115</v>
      </c>
      <c r="D8" s="21">
        <v>75000</v>
      </c>
      <c r="E8" s="30" t="s">
        <v>72</v>
      </c>
      <c r="F8" s="20">
        <v>2026</v>
      </c>
      <c r="G8" s="6"/>
      <c r="L8" s="43"/>
      <c r="M8" s="43"/>
    </row>
    <row r="9" spans="2:13" x14ac:dyDescent="0.2">
      <c r="B9" s="5"/>
      <c r="C9" s="30" t="s">
        <v>116</v>
      </c>
      <c r="D9" s="21">
        <v>65878</v>
      </c>
      <c r="E9" s="30" t="s">
        <v>72</v>
      </c>
      <c r="F9" s="20">
        <v>2026</v>
      </c>
      <c r="G9" s="6"/>
      <c r="M9" s="54"/>
    </row>
    <row r="10" spans="2:13" x14ac:dyDescent="0.2">
      <c r="B10" s="5"/>
      <c r="C10" s="30" t="s">
        <v>117</v>
      </c>
      <c r="D10" s="21">
        <v>92967</v>
      </c>
      <c r="E10" s="30" t="s">
        <v>72</v>
      </c>
      <c r="F10" s="20">
        <v>2026</v>
      </c>
      <c r="G10" s="6"/>
    </row>
    <row r="11" spans="2:13" x14ac:dyDescent="0.2">
      <c r="B11" s="5"/>
      <c r="C11" s="30" t="s">
        <v>122</v>
      </c>
      <c r="D11" s="21">
        <v>87157</v>
      </c>
      <c r="E11" s="30" t="s">
        <v>72</v>
      </c>
      <c r="F11" s="20">
        <v>2026</v>
      </c>
      <c r="G11" s="6"/>
    </row>
    <row r="12" spans="2:13" x14ac:dyDescent="0.2">
      <c r="B12" s="5"/>
      <c r="C12" s="30" t="s">
        <v>118</v>
      </c>
      <c r="D12" s="21">
        <v>72220</v>
      </c>
      <c r="E12" s="30" t="s">
        <v>72</v>
      </c>
      <c r="F12" s="20">
        <v>2026</v>
      </c>
      <c r="G12" s="6"/>
    </row>
    <row r="13" spans="2:13" x14ac:dyDescent="0.2">
      <c r="B13" s="5"/>
      <c r="C13" s="30" t="s">
        <v>119</v>
      </c>
      <c r="D13" s="21">
        <v>76640</v>
      </c>
      <c r="E13" s="30" t="s">
        <v>72</v>
      </c>
      <c r="F13" s="20">
        <v>2026</v>
      </c>
      <c r="G13" s="6"/>
    </row>
    <row r="14" spans="2:13" x14ac:dyDescent="0.2">
      <c r="B14" s="5"/>
      <c r="C14" s="30" t="s">
        <v>120</v>
      </c>
      <c r="D14" s="21">
        <v>70240</v>
      </c>
      <c r="E14" s="30" t="s">
        <v>72</v>
      </c>
      <c r="F14" s="20">
        <v>2026</v>
      </c>
      <c r="G14" s="6"/>
      <c r="J14" s="81"/>
      <c r="K14" s="81"/>
      <c r="L14" s="81"/>
      <c r="M14" s="81"/>
    </row>
    <row r="15" spans="2:13" x14ac:dyDescent="0.2">
      <c r="B15" s="5"/>
      <c r="C15" s="30" t="s">
        <v>121</v>
      </c>
      <c r="D15" s="21">
        <v>67518</v>
      </c>
      <c r="E15" s="30" t="s">
        <v>72</v>
      </c>
      <c r="F15" s="20">
        <v>2026</v>
      </c>
      <c r="G15" s="6"/>
      <c r="J15" s="30"/>
      <c r="K15" s="21"/>
      <c r="L15" s="30"/>
      <c r="M15" s="20"/>
    </row>
    <row r="16" spans="2:13" x14ac:dyDescent="0.2">
      <c r="B16" s="5"/>
      <c r="C16" s="30" t="s">
        <v>123</v>
      </c>
      <c r="D16" s="21">
        <v>69328</v>
      </c>
      <c r="E16" s="30" t="s">
        <v>72</v>
      </c>
      <c r="F16" s="20">
        <v>2026</v>
      </c>
      <c r="G16" s="6"/>
      <c r="J16" s="30"/>
      <c r="K16" s="21"/>
      <c r="L16" s="30"/>
      <c r="M16" s="20"/>
    </row>
    <row r="17" spans="2:13" x14ac:dyDescent="0.2">
      <c r="B17" s="5"/>
      <c r="C17" s="30" t="s">
        <v>124</v>
      </c>
      <c r="D17" s="21">
        <v>70909</v>
      </c>
      <c r="E17" s="30" t="s">
        <v>72</v>
      </c>
      <c r="F17" s="20">
        <v>2026</v>
      </c>
      <c r="G17" s="6"/>
      <c r="J17" s="30"/>
      <c r="K17" s="21"/>
      <c r="L17" s="30"/>
      <c r="M17" s="20"/>
    </row>
    <row r="18" spans="2:13" x14ac:dyDescent="0.2">
      <c r="B18" s="5"/>
      <c r="C18" s="30" t="s">
        <v>125</v>
      </c>
      <c r="D18" s="21">
        <v>69000</v>
      </c>
      <c r="E18" s="30" t="s">
        <v>72</v>
      </c>
      <c r="F18" s="20">
        <v>2026</v>
      </c>
      <c r="G18" s="6"/>
      <c r="J18" s="30"/>
      <c r="K18" s="21"/>
      <c r="L18" s="30"/>
      <c r="M18" s="20"/>
    </row>
    <row r="19" spans="2:13" x14ac:dyDescent="0.2">
      <c r="B19" s="5"/>
      <c r="C19" s="20" t="s">
        <v>159</v>
      </c>
      <c r="D19" s="21">
        <v>80000</v>
      </c>
      <c r="E19" s="30" t="s">
        <v>8</v>
      </c>
      <c r="F19" s="20">
        <v>2022</v>
      </c>
      <c r="G19" s="6"/>
      <c r="J19" s="30"/>
      <c r="K19" s="21"/>
      <c r="L19" s="30"/>
      <c r="M19" s="20"/>
    </row>
    <row r="20" spans="2:13" x14ac:dyDescent="0.2">
      <c r="B20" s="5"/>
      <c r="C20" s="20" t="s">
        <v>160</v>
      </c>
      <c r="D20" s="21">
        <v>60000</v>
      </c>
      <c r="E20" s="30" t="s">
        <v>8</v>
      </c>
      <c r="F20" s="20">
        <v>2022</v>
      </c>
      <c r="G20" s="6"/>
      <c r="J20" s="30"/>
      <c r="K20" s="21"/>
      <c r="L20" s="30"/>
      <c r="M20" s="20"/>
    </row>
    <row r="21" spans="2:13" x14ac:dyDescent="0.2">
      <c r="B21" s="5"/>
      <c r="C21" s="20" t="s">
        <v>161</v>
      </c>
      <c r="D21" s="21">
        <v>40000</v>
      </c>
      <c r="E21" s="30" t="s">
        <v>8</v>
      </c>
      <c r="F21" s="20">
        <v>2022</v>
      </c>
      <c r="G21" s="6"/>
      <c r="J21" s="30"/>
      <c r="K21" s="21"/>
      <c r="L21" s="30"/>
      <c r="M21" s="20"/>
    </row>
    <row r="22" spans="2:13" x14ac:dyDescent="0.2">
      <c r="B22" s="5"/>
      <c r="C22" s="20" t="s">
        <v>162</v>
      </c>
      <c r="D22" s="21">
        <v>40000</v>
      </c>
      <c r="E22" s="30" t="s">
        <v>8</v>
      </c>
      <c r="F22" s="20">
        <v>2022</v>
      </c>
      <c r="G22" s="6"/>
      <c r="J22" s="30"/>
      <c r="K22" s="21"/>
      <c r="L22" s="30"/>
      <c r="M22" s="20"/>
    </row>
    <row r="23" spans="2:13" x14ac:dyDescent="0.2">
      <c r="B23" s="5"/>
      <c r="C23" s="20" t="s">
        <v>163</v>
      </c>
      <c r="D23" s="21">
        <v>40000</v>
      </c>
      <c r="E23" s="30" t="s">
        <v>8</v>
      </c>
      <c r="F23" s="20">
        <v>2022</v>
      </c>
      <c r="G23" s="6"/>
      <c r="J23" s="30"/>
      <c r="K23" s="21"/>
      <c r="L23" s="30"/>
      <c r="M23" s="20"/>
    </row>
    <row r="24" spans="2:13" x14ac:dyDescent="0.2">
      <c r="B24" s="5"/>
      <c r="C24" s="20" t="s">
        <v>164</v>
      </c>
      <c r="D24" s="21">
        <v>40000</v>
      </c>
      <c r="E24" s="30" t="s">
        <v>8</v>
      </c>
      <c r="F24" s="20">
        <v>2022</v>
      </c>
      <c r="G24" s="6"/>
      <c r="J24" s="30"/>
      <c r="K24" s="21"/>
      <c r="L24" s="30"/>
      <c r="M24" s="20"/>
    </row>
    <row r="25" spans="2:13" x14ac:dyDescent="0.2">
      <c r="B25" s="5"/>
      <c r="C25" s="20" t="s">
        <v>165</v>
      </c>
      <c r="D25" s="21">
        <v>40000</v>
      </c>
      <c r="E25" s="30" t="s">
        <v>8</v>
      </c>
      <c r="F25" s="20">
        <v>2022</v>
      </c>
      <c r="G25" s="6"/>
      <c r="J25" s="30"/>
      <c r="K25" s="21"/>
      <c r="L25" s="30"/>
      <c r="M25" s="20"/>
    </row>
    <row r="26" spans="2:13" x14ac:dyDescent="0.2">
      <c r="B26" s="5"/>
      <c r="C26" s="22" t="s">
        <v>166</v>
      </c>
      <c r="D26" s="56">
        <v>40000</v>
      </c>
      <c r="E26" s="57" t="s">
        <v>8</v>
      </c>
      <c r="F26" s="22">
        <v>2022</v>
      </c>
      <c r="G26" s="6"/>
      <c r="J26" s="30"/>
      <c r="K26" s="21"/>
      <c r="L26" s="30"/>
      <c r="M26" s="20"/>
    </row>
    <row r="27" spans="2:13" ht="17" thickBot="1" x14ac:dyDescent="0.25">
      <c r="B27" s="13"/>
      <c r="C27" s="14"/>
      <c r="D27" s="55"/>
      <c r="E27" s="14"/>
      <c r="F27" s="55"/>
      <c r="G27" s="16"/>
      <c r="J27" s="30"/>
      <c r="K27" s="21"/>
      <c r="L27" s="30"/>
      <c r="M27" s="20"/>
    </row>
    <row r="28" spans="2:13" x14ac:dyDescent="0.2">
      <c r="J28" s="30"/>
      <c r="K28" s="21"/>
      <c r="L28" s="30"/>
      <c r="M28" s="20"/>
    </row>
    <row r="29" spans="2:13" x14ac:dyDescent="0.2">
      <c r="J29" s="30"/>
      <c r="K29" s="21"/>
      <c r="L29" s="30"/>
      <c r="M29" s="20"/>
    </row>
    <row r="30" spans="2:13" x14ac:dyDescent="0.2">
      <c r="J30" s="30"/>
      <c r="K30" s="21"/>
      <c r="L30" s="30"/>
      <c r="M30" s="20"/>
    </row>
    <row r="31" spans="2:13" x14ac:dyDescent="0.2">
      <c r="J31" s="20"/>
      <c r="K31" s="21"/>
      <c r="L31" s="30"/>
      <c r="M31" s="20"/>
    </row>
    <row r="32" spans="2:13" x14ac:dyDescent="0.2">
      <c r="J32" s="20"/>
      <c r="K32" s="21"/>
      <c r="L32" s="30"/>
      <c r="M32" s="20"/>
    </row>
    <row r="33" spans="10:13" x14ac:dyDescent="0.2">
      <c r="J33" s="20"/>
      <c r="K33" s="21"/>
      <c r="L33" s="30"/>
      <c r="M33" s="20"/>
    </row>
    <row r="34" spans="10:13" x14ac:dyDescent="0.2">
      <c r="J34" s="20"/>
      <c r="K34" s="21"/>
      <c r="L34" s="30"/>
      <c r="M34" s="20"/>
    </row>
    <row r="35" spans="10:13" x14ac:dyDescent="0.2">
      <c r="J35" s="20"/>
      <c r="K35" s="21"/>
      <c r="L35" s="30"/>
      <c r="M35" s="20"/>
    </row>
    <row r="36" spans="10:13" x14ac:dyDescent="0.2">
      <c r="J36" s="20"/>
      <c r="K36" s="21"/>
      <c r="L36" s="30"/>
      <c r="M36" s="20"/>
    </row>
    <row r="37" spans="10:13" x14ac:dyDescent="0.2">
      <c r="J37" s="20"/>
      <c r="K37" s="21"/>
      <c r="L37" s="30"/>
      <c r="M37" s="20"/>
    </row>
    <row r="38" spans="10:13" x14ac:dyDescent="0.2">
      <c r="J38" s="20"/>
      <c r="K38" s="21"/>
      <c r="L38" s="30"/>
      <c r="M38" s="2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FCE5-76DF-F349-A142-6246A269A29D}">
  <dimension ref="B1:F34"/>
  <sheetViews>
    <sheetView workbookViewId="0">
      <selection activeCell="K22" sqref="K22"/>
    </sheetView>
  </sheetViews>
  <sheetFormatPr baseColWidth="10" defaultRowHeight="16" x14ac:dyDescent="0.2"/>
  <cols>
    <col min="1" max="1" width="10.83203125" style="7"/>
    <col min="2" max="2" width="3.83203125" style="7" customWidth="1"/>
    <col min="3" max="3" width="10.83203125" style="7"/>
    <col min="4" max="4" width="17.33203125" style="20" bestFit="1" customWidth="1"/>
    <col min="5" max="5" width="9.6640625" style="20" bestFit="1" customWidth="1"/>
    <col min="6" max="6" width="3.83203125" style="7" customWidth="1"/>
    <col min="7" max="16384" width="10.83203125" style="7"/>
  </cols>
  <sheetData>
    <row r="1" spans="2:6" ht="17" thickBot="1" x14ac:dyDescent="0.25"/>
    <row r="2" spans="2:6" x14ac:dyDescent="0.2">
      <c r="B2" s="1"/>
      <c r="C2" s="62" t="s">
        <v>140</v>
      </c>
      <c r="D2" s="62" t="s">
        <v>141</v>
      </c>
      <c r="E2" s="62" t="s">
        <v>158</v>
      </c>
      <c r="F2" s="4"/>
    </row>
    <row r="3" spans="2:6" x14ac:dyDescent="0.2">
      <c r="B3" s="5"/>
      <c r="C3" s="20" t="s">
        <v>34</v>
      </c>
      <c r="D3" s="20">
        <v>76038</v>
      </c>
      <c r="E3" s="20">
        <f>D3*0.91*0.12</f>
        <v>8303.3495999999996</v>
      </c>
      <c r="F3" s="6"/>
    </row>
    <row r="4" spans="2:6" x14ac:dyDescent="0.2">
      <c r="B4" s="5"/>
      <c r="C4" s="20" t="s">
        <v>31</v>
      </c>
      <c r="D4" s="20">
        <v>49781</v>
      </c>
      <c r="E4" s="20">
        <f t="shared" ref="E4:E33" si="0">D4*0.91*0.12</f>
        <v>5436.0851999999995</v>
      </c>
      <c r="F4" s="6"/>
    </row>
    <row r="5" spans="2:6" x14ac:dyDescent="0.2">
      <c r="B5" s="5"/>
      <c r="C5" s="20" t="s">
        <v>42</v>
      </c>
      <c r="D5" s="20">
        <v>48065</v>
      </c>
      <c r="E5" s="20">
        <f t="shared" si="0"/>
        <v>5248.6980000000003</v>
      </c>
      <c r="F5" s="6"/>
    </row>
    <row r="6" spans="2:6" x14ac:dyDescent="0.2">
      <c r="B6" s="5"/>
      <c r="C6" s="20" t="s">
        <v>41</v>
      </c>
      <c r="D6" s="20">
        <v>58595</v>
      </c>
      <c r="E6" s="20">
        <f t="shared" si="0"/>
        <v>6398.5740000000005</v>
      </c>
      <c r="F6" s="6"/>
    </row>
    <row r="7" spans="2:6" x14ac:dyDescent="0.2">
      <c r="B7" s="5"/>
      <c r="C7" s="20" t="s">
        <v>12</v>
      </c>
      <c r="D7" s="20">
        <v>49635</v>
      </c>
      <c r="E7" s="20">
        <f t="shared" si="0"/>
        <v>5420.1419999999998</v>
      </c>
      <c r="F7" s="6"/>
    </row>
    <row r="8" spans="2:6" x14ac:dyDescent="0.2">
      <c r="B8" s="5"/>
      <c r="C8" s="20" t="s">
        <v>10</v>
      </c>
      <c r="D8" s="20">
        <v>61096</v>
      </c>
      <c r="E8" s="20">
        <f t="shared" si="0"/>
        <v>6671.6831999999995</v>
      </c>
      <c r="F8" s="6"/>
    </row>
    <row r="9" spans="2:6" x14ac:dyDescent="0.2">
      <c r="B9" s="5"/>
      <c r="C9" s="20" t="s">
        <v>21</v>
      </c>
      <c r="D9" s="20">
        <v>57939</v>
      </c>
      <c r="E9" s="20">
        <f t="shared" si="0"/>
        <v>6326.9388000000008</v>
      </c>
      <c r="F9" s="6"/>
    </row>
    <row r="10" spans="2:6" x14ac:dyDescent="0.2">
      <c r="B10" s="5"/>
      <c r="C10" s="20" t="s">
        <v>38</v>
      </c>
      <c r="D10" s="20">
        <v>60669</v>
      </c>
      <c r="E10" s="20">
        <f t="shared" si="0"/>
        <v>6625.0547999999999</v>
      </c>
      <c r="F10" s="6"/>
    </row>
    <row r="11" spans="2:6" x14ac:dyDescent="0.2">
      <c r="B11" s="5"/>
      <c r="C11" s="20" t="s">
        <v>28</v>
      </c>
      <c r="D11" s="20">
        <v>48357</v>
      </c>
      <c r="E11" s="20">
        <f t="shared" si="0"/>
        <v>5280.5843999999997</v>
      </c>
      <c r="F11" s="6"/>
    </row>
    <row r="12" spans="2:6" x14ac:dyDescent="0.2">
      <c r="B12" s="5"/>
      <c r="C12" s="20" t="s">
        <v>18</v>
      </c>
      <c r="D12" s="20">
        <v>49519</v>
      </c>
      <c r="E12" s="20">
        <f t="shared" si="0"/>
        <v>5407.4748</v>
      </c>
      <c r="F12" s="6"/>
    </row>
    <row r="13" spans="2:6" x14ac:dyDescent="0.2">
      <c r="B13" s="5"/>
      <c r="C13" s="20" t="s">
        <v>72</v>
      </c>
      <c r="D13" s="20">
        <v>49714</v>
      </c>
      <c r="E13" s="20">
        <f t="shared" si="0"/>
        <v>5428.7687999999998</v>
      </c>
      <c r="F13" s="6"/>
    </row>
    <row r="14" spans="2:6" x14ac:dyDescent="0.2">
      <c r="B14" s="5"/>
      <c r="C14" s="20" t="s">
        <v>1</v>
      </c>
      <c r="D14" s="20">
        <v>71107</v>
      </c>
      <c r="E14" s="20">
        <f t="shared" si="0"/>
        <v>7764.8843999999999</v>
      </c>
      <c r="F14" s="6"/>
    </row>
    <row r="15" spans="2:6" x14ac:dyDescent="0.2">
      <c r="B15" s="5"/>
      <c r="C15" s="20" t="s">
        <v>29</v>
      </c>
      <c r="D15" s="20">
        <v>72419</v>
      </c>
      <c r="E15" s="20">
        <f t="shared" si="0"/>
        <v>7908.1548000000003</v>
      </c>
      <c r="F15" s="6"/>
    </row>
    <row r="16" spans="2:6" x14ac:dyDescent="0.2">
      <c r="B16" s="5"/>
      <c r="C16" s="20" t="s">
        <v>32</v>
      </c>
      <c r="D16" s="20">
        <v>48429</v>
      </c>
      <c r="E16" s="20">
        <f t="shared" si="0"/>
        <v>5288.4467999999997</v>
      </c>
      <c r="F16" s="6"/>
    </row>
    <row r="17" spans="2:6" x14ac:dyDescent="0.2">
      <c r="B17" s="5"/>
      <c r="C17" s="20" t="s">
        <v>17</v>
      </c>
      <c r="D17" s="20">
        <v>42509</v>
      </c>
      <c r="E17" s="20">
        <f t="shared" si="0"/>
        <v>4641.9827999999998</v>
      </c>
      <c r="F17" s="6"/>
    </row>
    <row r="18" spans="2:6" x14ac:dyDescent="0.2">
      <c r="B18" s="5"/>
      <c r="C18" s="20" t="s">
        <v>54</v>
      </c>
      <c r="D18" s="20">
        <v>42339</v>
      </c>
      <c r="E18" s="20">
        <f t="shared" si="0"/>
        <v>4623.4187999999995</v>
      </c>
      <c r="F18" s="6"/>
    </row>
    <row r="19" spans="2:6" x14ac:dyDescent="0.2">
      <c r="B19" s="5"/>
      <c r="C19" s="20" t="s">
        <v>142</v>
      </c>
      <c r="D19" s="20">
        <v>41176</v>
      </c>
      <c r="E19" s="20">
        <f t="shared" si="0"/>
        <v>4496.4192000000003</v>
      </c>
      <c r="F19" s="6"/>
    </row>
    <row r="20" spans="2:6" x14ac:dyDescent="0.2">
      <c r="B20" s="5"/>
      <c r="C20" s="20" t="s">
        <v>22</v>
      </c>
      <c r="D20" s="20">
        <v>42365</v>
      </c>
      <c r="E20" s="20">
        <f t="shared" si="0"/>
        <v>4626.2579999999998</v>
      </c>
      <c r="F20" s="6"/>
    </row>
    <row r="21" spans="2:6" x14ac:dyDescent="0.2">
      <c r="B21" s="5"/>
      <c r="C21" s="20" t="s">
        <v>46</v>
      </c>
      <c r="D21" s="20">
        <v>43398</v>
      </c>
      <c r="E21" s="20">
        <f t="shared" si="0"/>
        <v>4739.0616</v>
      </c>
      <c r="F21" s="6"/>
    </row>
    <row r="22" spans="2:6" x14ac:dyDescent="0.2">
      <c r="B22" s="5"/>
      <c r="C22" s="20" t="s">
        <v>143</v>
      </c>
      <c r="D22" s="20">
        <v>55621</v>
      </c>
      <c r="E22" s="20">
        <f t="shared" si="0"/>
        <v>6073.8131999999996</v>
      </c>
      <c r="F22" s="6"/>
    </row>
    <row r="23" spans="2:6" x14ac:dyDescent="0.2">
      <c r="B23" s="5"/>
      <c r="C23" s="20" t="s">
        <v>9</v>
      </c>
      <c r="D23" s="20">
        <v>41754</v>
      </c>
      <c r="E23" s="20">
        <f t="shared" si="0"/>
        <v>4559.5367999999999</v>
      </c>
      <c r="F23" s="6"/>
    </row>
    <row r="24" spans="2:6" x14ac:dyDescent="0.2">
      <c r="B24" s="5"/>
      <c r="C24" s="20" t="s">
        <v>24</v>
      </c>
      <c r="D24" s="20">
        <v>42718</v>
      </c>
      <c r="E24" s="20">
        <f t="shared" si="0"/>
        <v>4664.8056000000006</v>
      </c>
      <c r="F24" s="6"/>
    </row>
    <row r="25" spans="2:6" x14ac:dyDescent="0.2">
      <c r="B25" s="5"/>
      <c r="C25" s="20" t="s">
        <v>23</v>
      </c>
      <c r="D25" s="20">
        <v>42792</v>
      </c>
      <c r="E25" s="20">
        <f t="shared" si="0"/>
        <v>4672.8864000000003</v>
      </c>
      <c r="F25" s="6"/>
    </row>
    <row r="26" spans="2:6" x14ac:dyDescent="0.2">
      <c r="B26" s="5"/>
      <c r="C26" s="20" t="s">
        <v>26</v>
      </c>
      <c r="D26" s="20">
        <v>43919</v>
      </c>
      <c r="E26" s="20">
        <f t="shared" si="0"/>
        <v>4795.9547999999995</v>
      </c>
      <c r="F26" s="6"/>
    </row>
    <row r="27" spans="2:6" x14ac:dyDescent="0.2">
      <c r="B27" s="5"/>
      <c r="C27" s="20" t="s">
        <v>20</v>
      </c>
      <c r="D27" s="20">
        <v>52258</v>
      </c>
      <c r="E27" s="20">
        <f t="shared" si="0"/>
        <v>5706.5735999999997</v>
      </c>
      <c r="F27" s="6"/>
    </row>
    <row r="28" spans="2:6" x14ac:dyDescent="0.2">
      <c r="B28" s="5"/>
      <c r="C28" s="20" t="s">
        <v>144</v>
      </c>
      <c r="D28" s="20">
        <v>42272</v>
      </c>
      <c r="E28" s="20">
        <f t="shared" si="0"/>
        <v>4616.1024000000007</v>
      </c>
      <c r="F28" s="6"/>
    </row>
    <row r="29" spans="2:6" x14ac:dyDescent="0.2">
      <c r="B29" s="5"/>
      <c r="C29" s="20" t="s">
        <v>7</v>
      </c>
      <c r="D29" s="20">
        <v>42636</v>
      </c>
      <c r="E29" s="20">
        <f t="shared" si="0"/>
        <v>4655.8512000000001</v>
      </c>
      <c r="F29" s="6"/>
    </row>
    <row r="30" spans="2:6" x14ac:dyDescent="0.2">
      <c r="B30" s="5"/>
      <c r="C30" s="20" t="s">
        <v>43</v>
      </c>
      <c r="D30" s="20">
        <v>43363</v>
      </c>
      <c r="E30" s="20">
        <f t="shared" si="0"/>
        <v>4735.2395999999999</v>
      </c>
      <c r="F30" s="6"/>
    </row>
    <row r="31" spans="2:6" x14ac:dyDescent="0.2">
      <c r="B31" s="5"/>
      <c r="C31" s="20" t="s">
        <v>145</v>
      </c>
      <c r="D31" s="20">
        <v>51225</v>
      </c>
      <c r="E31" s="20">
        <f t="shared" si="0"/>
        <v>5593.7699999999995</v>
      </c>
      <c r="F31" s="6"/>
    </row>
    <row r="32" spans="2:6" x14ac:dyDescent="0.2">
      <c r="B32" s="5"/>
      <c r="C32" s="20" t="s">
        <v>8</v>
      </c>
      <c r="D32" s="20">
        <v>58651</v>
      </c>
      <c r="E32" s="20">
        <f t="shared" si="0"/>
        <v>6404.6891999999998</v>
      </c>
      <c r="F32" s="6"/>
    </row>
    <row r="33" spans="2:6" x14ac:dyDescent="0.2">
      <c r="B33" s="5"/>
      <c r="C33" s="22" t="s">
        <v>146</v>
      </c>
      <c r="D33" s="22">
        <v>49515</v>
      </c>
      <c r="E33" s="22">
        <f t="shared" si="0"/>
        <v>5407.0379999999996</v>
      </c>
      <c r="F33" s="6"/>
    </row>
    <row r="34" spans="2:6" ht="17" thickBot="1" x14ac:dyDescent="0.25">
      <c r="B34" s="13"/>
      <c r="C34" s="14"/>
      <c r="D34" s="55"/>
      <c r="E34" s="55"/>
      <c r="F34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35B3-4296-864D-BAB8-A4523A811D15}">
  <dimension ref="A1:AA38"/>
  <sheetViews>
    <sheetView zoomScale="88" workbookViewId="0">
      <selection sqref="A1:W39"/>
    </sheetView>
  </sheetViews>
  <sheetFormatPr baseColWidth="10" defaultRowHeight="16" x14ac:dyDescent="0.2"/>
  <cols>
    <col min="1" max="1" width="3.6640625" style="7" customWidth="1"/>
    <col min="2" max="2" width="3.83203125" style="7" customWidth="1"/>
    <col min="3" max="3" width="4" style="7" customWidth="1"/>
    <col min="4" max="4" width="28.5" style="7" bestFit="1" customWidth="1"/>
    <col min="5" max="21" width="10.83203125" style="7"/>
    <col min="22" max="22" width="3.83203125" style="7" customWidth="1"/>
    <col min="23" max="24" width="10.83203125" style="7"/>
    <col min="25" max="25" width="24.6640625" style="7" bestFit="1" customWidth="1"/>
    <col min="26" max="26" width="10.83203125" style="7"/>
    <col min="27" max="27" width="10.33203125" style="7" customWidth="1"/>
    <col min="28" max="28" width="32.6640625" style="7" bestFit="1" customWidth="1"/>
    <col min="29" max="16384" width="10.83203125" style="7"/>
  </cols>
  <sheetData>
    <row r="1" spans="1:27" ht="17" thickBot="1" x14ac:dyDescent="0.25"/>
    <row r="2" spans="1:27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72"/>
    </row>
    <row r="3" spans="1:27" x14ac:dyDescent="0.2">
      <c r="B3" s="25"/>
      <c r="C3" s="27"/>
      <c r="D3" s="26" t="s">
        <v>107</v>
      </c>
      <c r="E3" s="87" t="s">
        <v>171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73"/>
    </row>
    <row r="4" spans="1:27" x14ac:dyDescent="0.2">
      <c r="B4" s="25"/>
      <c r="C4" s="27"/>
      <c r="D4" s="28"/>
      <c r="E4" s="26">
        <v>1</v>
      </c>
      <c r="F4" s="26">
        <v>2</v>
      </c>
      <c r="G4" s="26">
        <v>3</v>
      </c>
      <c r="H4" s="26">
        <v>4</v>
      </c>
      <c r="I4" s="26">
        <v>5</v>
      </c>
      <c r="J4" s="26">
        <v>6</v>
      </c>
      <c r="K4" s="26">
        <v>7</v>
      </c>
      <c r="L4" s="26">
        <v>8</v>
      </c>
      <c r="M4" s="26">
        <v>9</v>
      </c>
      <c r="N4" s="26">
        <v>10</v>
      </c>
      <c r="O4" s="26">
        <v>11</v>
      </c>
      <c r="P4" s="26">
        <v>12</v>
      </c>
      <c r="Q4" s="26">
        <v>13</v>
      </c>
      <c r="R4" s="26">
        <v>14</v>
      </c>
      <c r="S4" s="26">
        <v>15</v>
      </c>
      <c r="T4" s="26">
        <v>16</v>
      </c>
      <c r="U4" s="26">
        <v>17</v>
      </c>
      <c r="V4" s="74"/>
    </row>
    <row r="5" spans="1:27" x14ac:dyDescent="0.2">
      <c r="A5" s="86"/>
      <c r="B5" s="25"/>
      <c r="C5" s="86">
        <v>1</v>
      </c>
      <c r="D5" s="86" t="s">
        <v>111</v>
      </c>
      <c r="E5" s="68"/>
      <c r="F5" s="68">
        <v>3</v>
      </c>
      <c r="G5" s="68"/>
      <c r="H5" s="68"/>
      <c r="I5" s="68"/>
      <c r="J5" s="68"/>
      <c r="K5" s="68">
        <v>24</v>
      </c>
      <c r="L5" s="68"/>
      <c r="M5" s="68"/>
      <c r="N5" s="68">
        <v>35</v>
      </c>
      <c r="O5" s="68"/>
      <c r="P5" s="68"/>
      <c r="Q5" s="68">
        <v>47</v>
      </c>
      <c r="R5" s="68"/>
      <c r="S5" s="68"/>
      <c r="T5" s="68">
        <v>65</v>
      </c>
      <c r="U5" s="68"/>
      <c r="V5" s="75"/>
    </row>
    <row r="6" spans="1:27" x14ac:dyDescent="0.2">
      <c r="A6" s="86"/>
      <c r="B6" s="25"/>
      <c r="C6" s="86"/>
      <c r="D6" s="86"/>
      <c r="E6" s="68"/>
      <c r="F6" s="68" t="s">
        <v>199</v>
      </c>
      <c r="G6" s="68"/>
      <c r="H6" s="68"/>
      <c r="I6" s="68"/>
      <c r="J6" s="68"/>
      <c r="K6" s="68" t="s">
        <v>231</v>
      </c>
      <c r="L6" s="68"/>
      <c r="M6" s="68"/>
      <c r="N6" s="68" t="s">
        <v>200</v>
      </c>
      <c r="O6" s="68"/>
      <c r="P6" s="68"/>
      <c r="Q6" s="68" t="s">
        <v>238</v>
      </c>
      <c r="R6" s="68"/>
      <c r="S6" s="68"/>
      <c r="T6" s="68" t="s">
        <v>261</v>
      </c>
      <c r="U6" s="68"/>
      <c r="V6" s="75"/>
    </row>
    <row r="7" spans="1:27" x14ac:dyDescent="0.2">
      <c r="A7" s="86"/>
      <c r="B7" s="25"/>
      <c r="C7" s="86">
        <v>2</v>
      </c>
      <c r="D7" s="86" t="s">
        <v>110</v>
      </c>
      <c r="E7" s="68"/>
      <c r="F7" s="68"/>
      <c r="G7" s="68">
        <v>5</v>
      </c>
      <c r="H7" s="68"/>
      <c r="I7" s="68"/>
      <c r="J7" s="68"/>
      <c r="K7" s="68"/>
      <c r="L7" s="68">
        <v>27</v>
      </c>
      <c r="M7" s="68"/>
      <c r="N7" s="68"/>
      <c r="O7" s="68">
        <v>39</v>
      </c>
      <c r="P7" s="68"/>
      <c r="Q7" s="68"/>
      <c r="R7" s="68">
        <v>54</v>
      </c>
      <c r="S7" s="68"/>
      <c r="T7" s="68">
        <v>64</v>
      </c>
      <c r="U7" s="68"/>
      <c r="V7" s="75"/>
    </row>
    <row r="8" spans="1:27" x14ac:dyDescent="0.2">
      <c r="A8" s="86"/>
      <c r="B8" s="25"/>
      <c r="C8" s="86"/>
      <c r="D8" s="86"/>
      <c r="E8" s="68"/>
      <c r="F8" s="68"/>
      <c r="G8" s="68" t="s">
        <v>258</v>
      </c>
      <c r="H8" s="68"/>
      <c r="I8" s="68"/>
      <c r="J8" s="68"/>
      <c r="K8" s="68"/>
      <c r="L8" s="68" t="s">
        <v>215</v>
      </c>
      <c r="M8" s="68"/>
      <c r="N8" s="68"/>
      <c r="O8" s="68" t="s">
        <v>232</v>
      </c>
      <c r="P8" s="68"/>
      <c r="Q8" s="68"/>
      <c r="R8" s="68" t="s">
        <v>335</v>
      </c>
      <c r="S8" s="68"/>
      <c r="T8" s="68" t="s">
        <v>239</v>
      </c>
      <c r="U8" s="68"/>
      <c r="V8" s="75"/>
    </row>
    <row r="9" spans="1:27" x14ac:dyDescent="0.2">
      <c r="A9" s="86"/>
      <c r="B9" s="25"/>
      <c r="C9" s="86">
        <v>3</v>
      </c>
      <c r="D9" s="86" t="s">
        <v>113</v>
      </c>
      <c r="E9" s="68">
        <v>2</v>
      </c>
      <c r="F9" s="68"/>
      <c r="G9" s="68"/>
      <c r="H9" s="68"/>
      <c r="I9" s="68"/>
      <c r="J9" s="68"/>
      <c r="K9" s="68"/>
      <c r="L9" s="68">
        <v>26</v>
      </c>
      <c r="M9" s="68"/>
      <c r="N9" s="68"/>
      <c r="O9" s="68"/>
      <c r="P9" s="68"/>
      <c r="Q9" s="68">
        <v>46</v>
      </c>
      <c r="R9" s="68"/>
      <c r="S9" s="68"/>
      <c r="T9" s="68">
        <v>63</v>
      </c>
      <c r="U9" s="68"/>
      <c r="V9" s="75"/>
    </row>
    <row r="10" spans="1:27" x14ac:dyDescent="0.2">
      <c r="A10" s="86"/>
      <c r="B10" s="25"/>
      <c r="C10" s="86"/>
      <c r="D10" s="86"/>
      <c r="E10" s="68" t="s">
        <v>204</v>
      </c>
      <c r="F10" s="68"/>
      <c r="G10" s="68"/>
      <c r="H10" s="68"/>
      <c r="I10" s="68"/>
      <c r="J10" s="68"/>
      <c r="K10" s="68"/>
      <c r="L10" s="68" t="s">
        <v>206</v>
      </c>
      <c r="M10" s="68"/>
      <c r="N10" s="68"/>
      <c r="O10" s="68"/>
      <c r="P10" s="68"/>
      <c r="Q10" s="68" t="s">
        <v>256</v>
      </c>
      <c r="R10" s="68"/>
      <c r="S10" s="68"/>
      <c r="T10" s="68" t="s">
        <v>336</v>
      </c>
      <c r="U10" s="68"/>
      <c r="V10" s="75"/>
    </row>
    <row r="11" spans="1:27" ht="19" x14ac:dyDescent="0.25">
      <c r="A11" s="86"/>
      <c r="B11" s="25"/>
      <c r="C11" s="86">
        <v>4</v>
      </c>
      <c r="D11" s="86" t="s">
        <v>112</v>
      </c>
      <c r="E11" s="68">
        <v>1</v>
      </c>
      <c r="F11" s="68"/>
      <c r="G11" s="68"/>
      <c r="H11" s="68"/>
      <c r="I11" s="68"/>
      <c r="J11" s="68"/>
      <c r="K11" s="68">
        <v>23</v>
      </c>
      <c r="L11" s="68"/>
      <c r="M11" s="68"/>
      <c r="N11" s="68"/>
      <c r="O11" s="68"/>
      <c r="P11" s="68"/>
      <c r="Q11" s="68"/>
      <c r="R11" s="68">
        <v>52</v>
      </c>
      <c r="S11" s="68"/>
      <c r="T11" s="68"/>
      <c r="U11" s="68"/>
      <c r="V11" s="75"/>
      <c r="X11" s="34"/>
      <c r="Y11" s="35"/>
      <c r="Z11" s="36"/>
      <c r="AA11" s="35"/>
    </row>
    <row r="12" spans="1:27" ht="19" x14ac:dyDescent="0.25">
      <c r="A12" s="86"/>
      <c r="B12" s="25"/>
      <c r="C12" s="86"/>
      <c r="D12" s="86"/>
      <c r="E12" s="68" t="s">
        <v>209</v>
      </c>
      <c r="F12" s="68"/>
      <c r="G12" s="68"/>
      <c r="H12" s="68"/>
      <c r="I12" s="68"/>
      <c r="J12" s="68"/>
      <c r="K12" s="68" t="s">
        <v>211</v>
      </c>
      <c r="L12" s="68"/>
      <c r="M12" s="68"/>
      <c r="N12" s="68"/>
      <c r="O12" s="68"/>
      <c r="P12" s="68"/>
      <c r="Q12" s="68"/>
      <c r="R12" s="68" t="s">
        <v>337</v>
      </c>
      <c r="S12" s="68"/>
      <c r="T12" s="68"/>
      <c r="U12" s="68"/>
      <c r="V12" s="75"/>
      <c r="X12" s="34"/>
      <c r="Y12" s="35"/>
      <c r="Z12" s="36"/>
      <c r="AA12" s="35"/>
    </row>
    <row r="13" spans="1:27" ht="19" x14ac:dyDescent="0.25">
      <c r="A13" s="86"/>
      <c r="B13" s="25"/>
      <c r="C13" s="86">
        <v>5</v>
      </c>
      <c r="D13" s="86" t="s">
        <v>114</v>
      </c>
      <c r="E13" s="68"/>
      <c r="F13" s="68"/>
      <c r="G13" s="68"/>
      <c r="H13" s="68">
        <v>11</v>
      </c>
      <c r="I13" s="68"/>
      <c r="J13" s="68"/>
      <c r="K13" s="68"/>
      <c r="L13" s="68"/>
      <c r="M13" s="68"/>
      <c r="N13" s="68">
        <v>33</v>
      </c>
      <c r="O13" s="68"/>
      <c r="P13" s="68"/>
      <c r="Q13" s="68"/>
      <c r="R13" s="68">
        <v>53</v>
      </c>
      <c r="S13" s="68"/>
      <c r="T13" s="68"/>
      <c r="U13" s="68"/>
      <c r="V13" s="75"/>
      <c r="X13" s="34"/>
      <c r="Y13" s="35"/>
      <c r="Z13" s="36"/>
      <c r="AA13" s="35"/>
    </row>
    <row r="14" spans="1:27" ht="19" x14ac:dyDescent="0.25">
      <c r="A14" s="86"/>
      <c r="B14" s="25"/>
      <c r="C14" s="86"/>
      <c r="D14" s="86"/>
      <c r="E14" s="68"/>
      <c r="F14" s="68"/>
      <c r="G14" s="68"/>
      <c r="H14" s="68" t="s">
        <v>253</v>
      </c>
      <c r="I14" s="68"/>
      <c r="J14" s="68"/>
      <c r="K14" s="68"/>
      <c r="L14" s="68"/>
      <c r="M14" s="68"/>
      <c r="N14" s="68" t="s">
        <v>243</v>
      </c>
      <c r="O14" s="68"/>
      <c r="P14" s="68"/>
      <c r="Q14" s="68"/>
      <c r="R14" s="68" t="s">
        <v>217</v>
      </c>
      <c r="S14" s="68"/>
      <c r="T14" s="68"/>
      <c r="U14" s="68"/>
      <c r="V14" s="75"/>
      <c r="X14" s="34"/>
      <c r="Y14" s="35"/>
      <c r="Z14" s="36"/>
      <c r="AA14" s="35"/>
    </row>
    <row r="15" spans="1:27" ht="19" x14ac:dyDescent="0.25">
      <c r="A15" s="86"/>
      <c r="B15" s="25"/>
      <c r="C15" s="86">
        <v>6</v>
      </c>
      <c r="D15" s="86" t="s">
        <v>115</v>
      </c>
      <c r="E15" s="68"/>
      <c r="F15" s="68"/>
      <c r="G15" s="68"/>
      <c r="H15" s="68"/>
      <c r="I15" s="68">
        <v>15</v>
      </c>
      <c r="J15" s="68"/>
      <c r="K15" s="68"/>
      <c r="L15" s="68">
        <v>25</v>
      </c>
      <c r="M15" s="68"/>
      <c r="N15" s="68"/>
      <c r="O15" s="68">
        <v>38</v>
      </c>
      <c r="P15" s="68"/>
      <c r="Q15" s="68"/>
      <c r="R15" s="68">
        <v>50</v>
      </c>
      <c r="S15" s="68"/>
      <c r="T15" s="68"/>
      <c r="U15" s="68">
        <v>68</v>
      </c>
      <c r="V15" s="75"/>
      <c r="X15" s="34"/>
      <c r="Y15" s="35"/>
      <c r="Z15" s="36"/>
      <c r="AA15" s="35"/>
    </row>
    <row r="16" spans="1:27" x14ac:dyDescent="0.2">
      <c r="A16" s="86"/>
      <c r="B16" s="25"/>
      <c r="C16" s="86"/>
      <c r="D16" s="86"/>
      <c r="E16" s="68"/>
      <c r="F16" s="68"/>
      <c r="G16" s="68"/>
      <c r="H16" s="68"/>
      <c r="I16" s="68" t="s">
        <v>249</v>
      </c>
      <c r="J16" s="68"/>
      <c r="K16" s="68"/>
      <c r="L16" s="68" t="s">
        <v>212</v>
      </c>
      <c r="M16" s="68"/>
      <c r="N16" s="68"/>
      <c r="O16" s="68" t="s">
        <v>250</v>
      </c>
      <c r="P16" s="68"/>
      <c r="Q16" s="68"/>
      <c r="R16" s="68" t="s">
        <v>219</v>
      </c>
      <c r="S16" s="68"/>
      <c r="T16" s="68"/>
      <c r="U16" s="68" t="s">
        <v>338</v>
      </c>
      <c r="V16" s="75"/>
    </row>
    <row r="17" spans="1:22" x14ac:dyDescent="0.2">
      <c r="A17" s="86"/>
      <c r="B17" s="25"/>
      <c r="C17" s="86">
        <v>7</v>
      </c>
      <c r="D17" s="86" t="s">
        <v>116</v>
      </c>
      <c r="E17" s="68"/>
      <c r="F17" s="68"/>
      <c r="G17" s="68">
        <v>6</v>
      </c>
      <c r="H17" s="68"/>
      <c r="I17" s="68"/>
      <c r="J17" s="68">
        <v>20</v>
      </c>
      <c r="K17" s="68"/>
      <c r="L17" s="68"/>
      <c r="M17" s="68">
        <v>32</v>
      </c>
      <c r="N17" s="68"/>
      <c r="O17" s="68"/>
      <c r="P17" s="68"/>
      <c r="Q17" s="68">
        <v>48</v>
      </c>
      <c r="R17" s="68"/>
      <c r="S17" s="68"/>
      <c r="T17" s="68">
        <v>66</v>
      </c>
      <c r="U17" s="68"/>
      <c r="V17" s="75"/>
    </row>
    <row r="18" spans="1:22" x14ac:dyDescent="0.2">
      <c r="A18" s="86"/>
      <c r="B18" s="25"/>
      <c r="C18" s="86"/>
      <c r="D18" s="86"/>
      <c r="E18" s="68"/>
      <c r="F18" s="68"/>
      <c r="G18" s="68" t="s">
        <v>245</v>
      </c>
      <c r="H18" s="68"/>
      <c r="I18" s="68"/>
      <c r="J18" s="68" t="s">
        <v>225</v>
      </c>
      <c r="K18" s="68"/>
      <c r="L18" s="68"/>
      <c r="M18" s="68" t="s">
        <v>255</v>
      </c>
      <c r="N18" s="68"/>
      <c r="O18" s="68"/>
      <c r="P18" s="68"/>
      <c r="Q18" s="68" t="s">
        <v>201</v>
      </c>
      <c r="R18" s="68"/>
      <c r="S18" s="68"/>
      <c r="T18" s="68" t="s">
        <v>216</v>
      </c>
      <c r="U18" s="68"/>
      <c r="V18" s="75"/>
    </row>
    <row r="19" spans="1:22" x14ac:dyDescent="0.2">
      <c r="A19" s="86"/>
      <c r="B19" s="25"/>
      <c r="C19" s="86">
        <v>8</v>
      </c>
      <c r="D19" s="86" t="s">
        <v>117</v>
      </c>
      <c r="E19" s="68"/>
      <c r="F19" s="68"/>
      <c r="G19" s="68"/>
      <c r="H19" s="68">
        <v>10</v>
      </c>
      <c r="I19" s="68"/>
      <c r="J19" s="68"/>
      <c r="K19" s="68">
        <v>21</v>
      </c>
      <c r="L19" s="68"/>
      <c r="M19" s="68"/>
      <c r="N19" s="68"/>
      <c r="O19" s="68"/>
      <c r="P19" s="68">
        <v>42</v>
      </c>
      <c r="Q19" s="68"/>
      <c r="R19" s="68"/>
      <c r="S19" s="68">
        <v>56</v>
      </c>
      <c r="T19" s="68"/>
      <c r="U19" s="68">
        <v>70</v>
      </c>
      <c r="V19" s="75"/>
    </row>
    <row r="20" spans="1:22" x14ac:dyDescent="0.2">
      <c r="A20" s="86"/>
      <c r="B20" s="25"/>
      <c r="C20" s="86"/>
      <c r="D20" s="86"/>
      <c r="E20" s="68"/>
      <c r="F20" s="68"/>
      <c r="G20" s="68"/>
      <c r="H20" s="68" t="s">
        <v>213</v>
      </c>
      <c r="I20" s="68"/>
      <c r="J20" s="68"/>
      <c r="K20" s="68" t="s">
        <v>198</v>
      </c>
      <c r="L20" s="68"/>
      <c r="M20" s="68"/>
      <c r="N20" s="68"/>
      <c r="O20" s="68"/>
      <c r="P20" s="68" t="s">
        <v>218</v>
      </c>
      <c r="Q20" s="68"/>
      <c r="R20" s="68"/>
      <c r="S20" s="68" t="s">
        <v>228</v>
      </c>
      <c r="T20" s="68"/>
      <c r="U20" s="68" t="s">
        <v>229</v>
      </c>
      <c r="V20" s="75"/>
    </row>
    <row r="21" spans="1:22" x14ac:dyDescent="0.2">
      <c r="A21" s="86"/>
      <c r="B21" s="25"/>
      <c r="C21" s="86">
        <v>9</v>
      </c>
      <c r="D21" s="86" t="s">
        <v>122</v>
      </c>
      <c r="E21" s="68"/>
      <c r="F21" s="68"/>
      <c r="G21" s="68">
        <v>8</v>
      </c>
      <c r="H21" s="68"/>
      <c r="I21" s="68"/>
      <c r="J21" s="68">
        <v>18</v>
      </c>
      <c r="K21" s="68"/>
      <c r="L21" s="68"/>
      <c r="M21" s="68"/>
      <c r="N21" s="68"/>
      <c r="O21" s="68"/>
      <c r="P21" s="68">
        <v>41</v>
      </c>
      <c r="Q21" s="68"/>
      <c r="R21" s="68"/>
      <c r="S21" s="68">
        <v>55</v>
      </c>
      <c r="T21" s="68"/>
      <c r="U21" s="68">
        <v>69</v>
      </c>
      <c r="V21" s="75"/>
    </row>
    <row r="22" spans="1:22" x14ac:dyDescent="0.2">
      <c r="A22" s="86"/>
      <c r="B22" s="25"/>
      <c r="C22" s="86"/>
      <c r="D22" s="86"/>
      <c r="E22" s="68"/>
      <c r="F22" s="68"/>
      <c r="G22" s="68" t="s">
        <v>202</v>
      </c>
      <c r="H22" s="68"/>
      <c r="I22" s="68"/>
      <c r="J22" s="68" t="s">
        <v>214</v>
      </c>
      <c r="K22" s="68"/>
      <c r="L22" s="68"/>
      <c r="M22" s="68"/>
      <c r="N22" s="68"/>
      <c r="O22" s="68"/>
      <c r="P22" s="68" t="s">
        <v>263</v>
      </c>
      <c r="Q22" s="68"/>
      <c r="R22" s="68"/>
      <c r="S22" s="68" t="s">
        <v>233</v>
      </c>
      <c r="T22" s="68"/>
      <c r="U22" s="68" t="s">
        <v>220</v>
      </c>
      <c r="V22" s="75"/>
    </row>
    <row r="23" spans="1:22" x14ac:dyDescent="0.2">
      <c r="A23" s="86"/>
      <c r="B23" s="25"/>
      <c r="C23" s="86">
        <v>10</v>
      </c>
      <c r="D23" s="86" t="s">
        <v>118</v>
      </c>
      <c r="E23" s="68"/>
      <c r="F23" s="68"/>
      <c r="G23" s="68"/>
      <c r="H23" s="68">
        <v>9</v>
      </c>
      <c r="I23" s="68"/>
      <c r="J23" s="68"/>
      <c r="K23" s="68">
        <v>22</v>
      </c>
      <c r="L23" s="68"/>
      <c r="M23" s="68"/>
      <c r="N23" s="68">
        <v>34</v>
      </c>
      <c r="O23" s="68"/>
      <c r="P23" s="68"/>
      <c r="Q23" s="68">
        <v>45</v>
      </c>
      <c r="R23" s="68"/>
      <c r="S23" s="68"/>
      <c r="T23" s="68">
        <v>62</v>
      </c>
      <c r="U23" s="68"/>
      <c r="V23" s="75"/>
    </row>
    <row r="24" spans="1:22" x14ac:dyDescent="0.2">
      <c r="A24" s="86"/>
      <c r="B24" s="25"/>
      <c r="C24" s="86"/>
      <c r="D24" s="86"/>
      <c r="E24" s="68"/>
      <c r="F24" s="68"/>
      <c r="G24" s="68"/>
      <c r="H24" s="68" t="s">
        <v>224</v>
      </c>
      <c r="I24" s="68"/>
      <c r="J24" s="68"/>
      <c r="K24" s="68" t="s">
        <v>236</v>
      </c>
      <c r="L24" s="68"/>
      <c r="M24" s="68"/>
      <c r="N24" s="68" t="s">
        <v>203</v>
      </c>
      <c r="O24" s="68"/>
      <c r="P24" s="68"/>
      <c r="Q24" s="68" t="s">
        <v>207</v>
      </c>
      <c r="R24" s="68"/>
      <c r="S24" s="68"/>
      <c r="T24" s="68" t="s">
        <v>208</v>
      </c>
      <c r="U24" s="68"/>
      <c r="V24" s="75"/>
    </row>
    <row r="25" spans="1:22" x14ac:dyDescent="0.2">
      <c r="A25" s="86"/>
      <c r="B25" s="25"/>
      <c r="C25" s="86">
        <v>11</v>
      </c>
      <c r="D25" s="86" t="s">
        <v>119</v>
      </c>
      <c r="E25" s="68"/>
      <c r="F25" s="68"/>
      <c r="G25" s="68"/>
      <c r="H25" s="68"/>
      <c r="I25" s="68"/>
      <c r="J25" s="68">
        <v>19</v>
      </c>
      <c r="K25" s="68"/>
      <c r="L25" s="68"/>
      <c r="M25" s="68"/>
      <c r="N25" s="68">
        <v>36</v>
      </c>
      <c r="O25" s="68"/>
      <c r="P25" s="68"/>
      <c r="Q25" s="68"/>
      <c r="R25" s="68"/>
      <c r="S25" s="68">
        <v>60</v>
      </c>
      <c r="T25" s="68"/>
      <c r="U25" s="68">
        <v>71</v>
      </c>
      <c r="V25" s="75"/>
    </row>
    <row r="26" spans="1:22" x14ac:dyDescent="0.2">
      <c r="A26" s="86"/>
      <c r="B26" s="25"/>
      <c r="C26" s="86"/>
      <c r="D26" s="86"/>
      <c r="E26" s="68"/>
      <c r="F26" s="68"/>
      <c r="G26" s="68"/>
      <c r="H26" s="68"/>
      <c r="I26" s="68"/>
      <c r="J26" s="68" t="s">
        <v>259</v>
      </c>
      <c r="K26" s="68"/>
      <c r="L26" s="68"/>
      <c r="M26" s="68"/>
      <c r="N26" s="68" t="s">
        <v>240</v>
      </c>
      <c r="O26" s="68"/>
      <c r="P26" s="68"/>
      <c r="Q26" s="68"/>
      <c r="R26" s="68"/>
      <c r="S26" s="68" t="s">
        <v>241</v>
      </c>
      <c r="T26" s="68"/>
      <c r="U26" s="68" t="s">
        <v>252</v>
      </c>
      <c r="V26" s="75"/>
    </row>
    <row r="27" spans="1:22" x14ac:dyDescent="0.2">
      <c r="A27" s="86"/>
      <c r="B27" s="5"/>
      <c r="C27" s="86">
        <v>12</v>
      </c>
      <c r="D27" s="86" t="s">
        <v>120</v>
      </c>
      <c r="E27" s="34"/>
      <c r="F27" s="34">
        <v>4</v>
      </c>
      <c r="G27" s="34"/>
      <c r="H27" s="34"/>
      <c r="I27" s="34">
        <v>16</v>
      </c>
      <c r="J27" s="34"/>
      <c r="K27" s="34"/>
      <c r="L27" s="34">
        <v>28</v>
      </c>
      <c r="M27" s="34"/>
      <c r="N27" s="34"/>
      <c r="O27" s="34">
        <v>40</v>
      </c>
      <c r="P27" s="34"/>
      <c r="Q27" s="34"/>
      <c r="R27" s="34"/>
      <c r="S27" s="34">
        <v>59</v>
      </c>
      <c r="T27" s="34"/>
      <c r="U27" s="34"/>
      <c r="V27" s="6"/>
    </row>
    <row r="28" spans="1:22" x14ac:dyDescent="0.2">
      <c r="A28" s="86"/>
      <c r="B28" s="5"/>
      <c r="C28" s="86"/>
      <c r="D28" s="86"/>
      <c r="E28" s="34"/>
      <c r="F28" s="34" t="s">
        <v>242</v>
      </c>
      <c r="G28" s="34"/>
      <c r="H28" s="34"/>
      <c r="I28" s="34" t="s">
        <v>205</v>
      </c>
      <c r="J28" s="34"/>
      <c r="K28" s="34"/>
      <c r="L28" s="34" t="s">
        <v>339</v>
      </c>
      <c r="M28" s="34"/>
      <c r="N28" s="34"/>
      <c r="O28" s="34" t="s">
        <v>222</v>
      </c>
      <c r="P28" s="34"/>
      <c r="Q28" s="34"/>
      <c r="R28" s="34"/>
      <c r="S28" s="34" t="s">
        <v>244</v>
      </c>
      <c r="T28" s="34"/>
      <c r="U28" s="34"/>
      <c r="V28" s="6"/>
    </row>
    <row r="29" spans="1:22" x14ac:dyDescent="0.2">
      <c r="A29" s="86"/>
      <c r="B29" s="5"/>
      <c r="C29" s="86">
        <v>13</v>
      </c>
      <c r="D29" s="86" t="s">
        <v>121</v>
      </c>
      <c r="E29" s="34"/>
      <c r="F29" s="34"/>
      <c r="G29" s="34"/>
      <c r="H29" s="34"/>
      <c r="I29" s="34">
        <v>13</v>
      </c>
      <c r="J29" s="34"/>
      <c r="K29" s="34"/>
      <c r="L29" s="34"/>
      <c r="M29" s="34"/>
      <c r="N29" s="34"/>
      <c r="O29" s="34">
        <v>37</v>
      </c>
      <c r="P29" s="34"/>
      <c r="Q29" s="34"/>
      <c r="R29" s="34">
        <v>49</v>
      </c>
      <c r="S29" s="34"/>
      <c r="U29" s="34">
        <v>67</v>
      </c>
      <c r="V29" s="6"/>
    </row>
    <row r="30" spans="1:22" x14ac:dyDescent="0.2">
      <c r="A30" s="86"/>
      <c r="B30" s="5"/>
      <c r="C30" s="86"/>
      <c r="D30" s="86"/>
      <c r="E30" s="34"/>
      <c r="F30" s="34"/>
      <c r="G30" s="34"/>
      <c r="H30" s="34"/>
      <c r="I30" s="34" t="s">
        <v>230</v>
      </c>
      <c r="J30" s="34"/>
      <c r="K30" s="34"/>
      <c r="L30" s="34"/>
      <c r="M30" s="34"/>
      <c r="N30" s="34"/>
      <c r="O30" s="34" t="s">
        <v>246</v>
      </c>
      <c r="P30" s="34"/>
      <c r="Q30" s="34"/>
      <c r="R30" s="34" t="s">
        <v>247</v>
      </c>
      <c r="S30" s="34"/>
      <c r="T30" s="34"/>
      <c r="U30" s="34" t="s">
        <v>340</v>
      </c>
      <c r="V30" s="6"/>
    </row>
    <row r="31" spans="1:22" x14ac:dyDescent="0.2">
      <c r="A31" s="86"/>
      <c r="B31" s="5"/>
      <c r="C31" s="86">
        <v>14</v>
      </c>
      <c r="D31" s="86" t="s">
        <v>123</v>
      </c>
      <c r="E31" s="34"/>
      <c r="F31" s="34"/>
      <c r="G31" s="34"/>
      <c r="H31" s="34">
        <v>12</v>
      </c>
      <c r="I31" s="34"/>
      <c r="J31" s="34"/>
      <c r="K31" s="34"/>
      <c r="L31" s="34"/>
      <c r="M31" s="34">
        <v>31</v>
      </c>
      <c r="N31" s="34"/>
      <c r="O31" s="34"/>
      <c r="P31" s="34">
        <v>44</v>
      </c>
      <c r="Q31" s="34"/>
      <c r="R31" s="34"/>
      <c r="S31" s="34">
        <v>58</v>
      </c>
      <c r="T31" s="34"/>
      <c r="U31" s="34">
        <v>72</v>
      </c>
      <c r="V31" s="6"/>
    </row>
    <row r="32" spans="1:22" x14ac:dyDescent="0.2">
      <c r="A32" s="86"/>
      <c r="B32" s="5"/>
      <c r="C32" s="86"/>
      <c r="D32" s="86"/>
      <c r="E32" s="34"/>
      <c r="F32" s="34"/>
      <c r="G32" s="34"/>
      <c r="H32" s="34" t="s">
        <v>235</v>
      </c>
      <c r="I32" s="34"/>
      <c r="J32" s="34"/>
      <c r="K32" s="34"/>
      <c r="L32" s="34"/>
      <c r="M32" s="34" t="s">
        <v>237</v>
      </c>
      <c r="N32" s="34"/>
      <c r="O32" s="34"/>
      <c r="P32" s="34" t="s">
        <v>223</v>
      </c>
      <c r="Q32" s="34"/>
      <c r="R32" s="34"/>
      <c r="S32" s="34" t="s">
        <v>251</v>
      </c>
      <c r="T32" s="34"/>
      <c r="U32" s="34" t="s">
        <v>234</v>
      </c>
      <c r="V32" s="6"/>
    </row>
    <row r="33" spans="1:22" x14ac:dyDescent="0.2">
      <c r="A33" s="86"/>
      <c r="B33" s="5"/>
      <c r="C33" s="86">
        <v>15</v>
      </c>
      <c r="D33" s="86" t="s">
        <v>124</v>
      </c>
      <c r="E33" s="34"/>
      <c r="F33" s="34"/>
      <c r="G33" s="34">
        <v>7</v>
      </c>
      <c r="H33" s="34"/>
      <c r="I33" s="34"/>
      <c r="J33" s="34">
        <v>17</v>
      </c>
      <c r="K33" s="34"/>
      <c r="L33" s="34"/>
      <c r="M33" s="34">
        <v>29</v>
      </c>
      <c r="N33" s="34"/>
      <c r="O33" s="34"/>
      <c r="P33" s="34">
        <v>43</v>
      </c>
      <c r="Q33" s="34"/>
      <c r="R33" s="34"/>
      <c r="S33" s="34">
        <v>57</v>
      </c>
      <c r="T33" s="34"/>
      <c r="U33" s="34"/>
      <c r="V33" s="6"/>
    </row>
    <row r="34" spans="1:22" x14ac:dyDescent="0.2">
      <c r="A34" s="86"/>
      <c r="B34" s="5"/>
      <c r="C34" s="86"/>
      <c r="D34" s="86"/>
      <c r="E34" s="34"/>
      <c r="F34" s="34"/>
      <c r="G34" s="34" t="s">
        <v>221</v>
      </c>
      <c r="H34" s="34"/>
      <c r="I34" s="34"/>
      <c r="J34" s="34" t="s">
        <v>254</v>
      </c>
      <c r="K34" s="34"/>
      <c r="L34" s="34"/>
      <c r="M34" s="34" t="s">
        <v>226</v>
      </c>
      <c r="N34" s="34"/>
      <c r="O34" s="34"/>
      <c r="P34" s="34" t="s">
        <v>227</v>
      </c>
      <c r="Q34" s="34"/>
      <c r="R34" s="34"/>
      <c r="S34" s="34" t="s">
        <v>257</v>
      </c>
      <c r="T34" s="34"/>
      <c r="U34" s="34"/>
      <c r="V34" s="6"/>
    </row>
    <row r="35" spans="1:22" x14ac:dyDescent="0.2">
      <c r="A35" s="86"/>
      <c r="B35" s="5"/>
      <c r="C35" s="86">
        <v>16</v>
      </c>
      <c r="D35" s="86" t="s">
        <v>125</v>
      </c>
      <c r="E35" s="34"/>
      <c r="F35" s="34"/>
      <c r="G35" s="34"/>
      <c r="H35" s="34"/>
      <c r="I35" s="34">
        <v>14</v>
      </c>
      <c r="J35" s="34"/>
      <c r="K35" s="34"/>
      <c r="L35" s="34"/>
      <c r="M35" s="34">
        <v>30</v>
      </c>
      <c r="N35" s="34"/>
      <c r="O35" s="34"/>
      <c r="P35" s="34"/>
      <c r="Q35" s="34"/>
      <c r="R35" s="34">
        <v>51</v>
      </c>
      <c r="S35" s="34"/>
      <c r="T35" s="34">
        <v>61</v>
      </c>
      <c r="U35" s="34"/>
      <c r="V35" s="6"/>
    </row>
    <row r="36" spans="1:22" x14ac:dyDescent="0.2">
      <c r="A36" s="86"/>
      <c r="B36" s="5"/>
      <c r="C36" s="86"/>
      <c r="D36" s="86"/>
      <c r="E36" s="34"/>
      <c r="F36" s="34"/>
      <c r="G36" s="34"/>
      <c r="H36" s="34"/>
      <c r="I36" s="34" t="s">
        <v>210</v>
      </c>
      <c r="J36" s="34"/>
      <c r="K36" s="34"/>
      <c r="L36" s="34"/>
      <c r="M36" s="34" t="s">
        <v>260</v>
      </c>
      <c r="N36" s="34"/>
      <c r="O36" s="34"/>
      <c r="P36" s="34"/>
      <c r="Q36" s="34"/>
      <c r="R36" s="34" t="s">
        <v>262</v>
      </c>
      <c r="S36" s="34"/>
      <c r="T36" s="34" t="s">
        <v>248</v>
      </c>
      <c r="U36" s="34"/>
      <c r="V36" s="6"/>
    </row>
    <row r="37" spans="1:22" x14ac:dyDescent="0.2">
      <c r="A37" s="30"/>
      <c r="B37" s="5"/>
      <c r="C37" s="57"/>
      <c r="D37" s="5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"/>
    </row>
    <row r="38" spans="1:22" ht="17" thickBot="1" x14ac:dyDescent="0.25"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6"/>
    </row>
  </sheetData>
  <mergeCells count="49">
    <mergeCell ref="C33:C34"/>
    <mergeCell ref="D33:D34"/>
    <mergeCell ref="C35:C36"/>
    <mergeCell ref="D35:D36"/>
    <mergeCell ref="E3:U3"/>
    <mergeCell ref="C27:C28"/>
    <mergeCell ref="D27:D28"/>
    <mergeCell ref="C29:C30"/>
    <mergeCell ref="D29:D30"/>
    <mergeCell ref="C31:C32"/>
    <mergeCell ref="D31:D32"/>
    <mergeCell ref="C21:C22"/>
    <mergeCell ref="D21:D22"/>
    <mergeCell ref="C23:C24"/>
    <mergeCell ref="D23:D24"/>
    <mergeCell ref="C25:C26"/>
    <mergeCell ref="C11:C12"/>
    <mergeCell ref="D11:D12"/>
    <mergeCell ref="C13:C14"/>
    <mergeCell ref="D13:D14"/>
    <mergeCell ref="D25:D26"/>
    <mergeCell ref="C15:C16"/>
    <mergeCell ref="D15:D16"/>
    <mergeCell ref="C17:C18"/>
    <mergeCell ref="D17:D18"/>
    <mergeCell ref="C19:C20"/>
    <mergeCell ref="D19:D20"/>
    <mergeCell ref="C5:C6"/>
    <mergeCell ref="D5:D6"/>
    <mergeCell ref="C7:C8"/>
    <mergeCell ref="D7:D8"/>
    <mergeCell ref="C9:C10"/>
    <mergeCell ref="D9:D10"/>
    <mergeCell ref="A29:A30"/>
    <mergeCell ref="A31:A32"/>
    <mergeCell ref="A33:A34"/>
    <mergeCell ref="A35:A36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42A8-2EE3-9E46-B505-844D50539135}">
  <dimension ref="B2:K55"/>
  <sheetViews>
    <sheetView workbookViewId="0">
      <selection activeCell="A2" sqref="A2:I56"/>
    </sheetView>
  </sheetViews>
  <sheetFormatPr baseColWidth="10" defaultRowHeight="16" x14ac:dyDescent="0.2"/>
  <cols>
    <col min="1" max="1" width="10.83203125" style="7"/>
    <col min="2" max="2" width="3.83203125" style="7" customWidth="1"/>
    <col min="3" max="3" width="12.83203125" style="7" bestFit="1" customWidth="1"/>
    <col min="4" max="4" width="10" style="7" bestFit="1" customWidth="1"/>
    <col min="5" max="5" width="14.83203125" style="7" bestFit="1" customWidth="1"/>
    <col min="6" max="6" width="10.83203125" style="7"/>
    <col min="7" max="7" width="14.83203125" style="63" bestFit="1" customWidth="1"/>
    <col min="8" max="8" width="3.83203125" style="7" customWidth="1"/>
    <col min="9" max="16384" width="10.83203125" style="7"/>
  </cols>
  <sheetData>
    <row r="2" spans="2:11" ht="17" thickBot="1" x14ac:dyDescent="0.25"/>
    <row r="3" spans="2:11" x14ac:dyDescent="0.2">
      <c r="B3" s="1"/>
      <c r="C3" s="2"/>
      <c r="D3" s="2"/>
      <c r="E3" s="2"/>
      <c r="F3" s="2"/>
      <c r="G3" s="3"/>
      <c r="H3" s="4"/>
    </row>
    <row r="4" spans="2:11" x14ac:dyDescent="0.2">
      <c r="B4" s="5"/>
      <c r="C4" s="17" t="s">
        <v>175</v>
      </c>
      <c r="D4" s="17" t="s">
        <v>57</v>
      </c>
      <c r="E4" s="17" t="s">
        <v>176</v>
      </c>
      <c r="F4" s="17" t="s">
        <v>56</v>
      </c>
      <c r="G4" s="18" t="s">
        <v>177</v>
      </c>
      <c r="H4" s="6"/>
      <c r="K4" s="30"/>
    </row>
    <row r="5" spans="2:11" x14ac:dyDescent="0.2">
      <c r="B5" s="5"/>
      <c r="G5" s="8"/>
      <c r="H5" s="6"/>
      <c r="K5" s="30"/>
    </row>
    <row r="6" spans="2:11" x14ac:dyDescent="0.2">
      <c r="B6" s="5"/>
      <c r="C6" s="9" t="s">
        <v>35</v>
      </c>
      <c r="D6" s="9" t="s">
        <v>84</v>
      </c>
      <c r="E6" s="9" t="s">
        <v>4</v>
      </c>
      <c r="F6" s="20">
        <v>1560.91</v>
      </c>
      <c r="G6" s="10">
        <v>1</v>
      </c>
      <c r="H6" s="6"/>
      <c r="K6" s="30"/>
    </row>
    <row r="7" spans="2:11" x14ac:dyDescent="0.2">
      <c r="B7" s="5"/>
      <c r="C7" s="9" t="s">
        <v>34</v>
      </c>
      <c r="D7" s="9" t="s">
        <v>59</v>
      </c>
      <c r="E7" s="9" t="s">
        <v>11</v>
      </c>
      <c r="F7" s="20">
        <v>1873.33</v>
      </c>
      <c r="G7" s="10">
        <v>1</v>
      </c>
      <c r="H7" s="6"/>
      <c r="K7" s="30"/>
    </row>
    <row r="8" spans="2:11" x14ac:dyDescent="0.2">
      <c r="B8" s="5"/>
      <c r="C8" s="9" t="s">
        <v>17</v>
      </c>
      <c r="D8" s="9" t="s">
        <v>83</v>
      </c>
      <c r="E8" s="9" t="s">
        <v>5</v>
      </c>
      <c r="F8" s="20">
        <v>1574.01</v>
      </c>
      <c r="G8" s="10">
        <v>1</v>
      </c>
      <c r="H8" s="6"/>
      <c r="K8" s="30"/>
    </row>
    <row r="9" spans="2:11" x14ac:dyDescent="0.2">
      <c r="B9" s="5"/>
      <c r="C9" s="9" t="s">
        <v>36</v>
      </c>
      <c r="D9" s="9" t="s">
        <v>81</v>
      </c>
      <c r="E9" s="9" t="s">
        <v>6</v>
      </c>
      <c r="F9" s="20">
        <v>1585.51</v>
      </c>
      <c r="G9" s="10">
        <v>0.74107422902551612</v>
      </c>
      <c r="H9" s="6"/>
      <c r="K9" s="30"/>
    </row>
    <row r="10" spans="2:11" x14ac:dyDescent="0.2">
      <c r="B10" s="5"/>
      <c r="C10" s="9" t="s">
        <v>24</v>
      </c>
      <c r="D10" s="9" t="s">
        <v>66</v>
      </c>
      <c r="E10" s="9" t="s">
        <v>6</v>
      </c>
      <c r="F10" s="20">
        <v>1730.71</v>
      </c>
      <c r="G10" s="10">
        <v>1</v>
      </c>
      <c r="H10" s="6"/>
      <c r="K10" s="30"/>
    </row>
    <row r="11" spans="2:11" x14ac:dyDescent="0.2">
      <c r="B11" s="5"/>
      <c r="C11" s="9" t="s">
        <v>10</v>
      </c>
      <c r="D11" s="9" t="s">
        <v>62</v>
      </c>
      <c r="E11" s="9" t="s">
        <v>11</v>
      </c>
      <c r="F11" s="20">
        <v>1760.46</v>
      </c>
      <c r="G11" s="10">
        <v>1</v>
      </c>
      <c r="H11" s="6"/>
      <c r="K11" s="30"/>
    </row>
    <row r="12" spans="2:11" x14ac:dyDescent="0.2">
      <c r="B12" s="5"/>
      <c r="C12" s="9" t="s">
        <v>47</v>
      </c>
      <c r="D12" s="9" t="s">
        <v>101</v>
      </c>
      <c r="E12" s="9" t="s">
        <v>4</v>
      </c>
      <c r="F12" s="20">
        <v>1370.49</v>
      </c>
      <c r="G12" s="10">
        <v>1</v>
      </c>
      <c r="H12" s="6"/>
      <c r="K12" s="30"/>
    </row>
    <row r="13" spans="2:11" x14ac:dyDescent="0.2">
      <c r="B13" s="5"/>
      <c r="C13" s="9" t="s">
        <v>7</v>
      </c>
      <c r="D13" s="9" t="s">
        <v>85</v>
      </c>
      <c r="E13" s="9" t="s">
        <v>2</v>
      </c>
      <c r="F13" s="20">
        <v>1559.15</v>
      </c>
      <c r="G13" s="10">
        <v>1</v>
      </c>
      <c r="H13" s="6"/>
      <c r="K13" s="30"/>
    </row>
    <row r="14" spans="2:11" x14ac:dyDescent="0.2">
      <c r="B14" s="5"/>
      <c r="C14" s="9" t="s">
        <v>40</v>
      </c>
      <c r="D14" s="9" t="s">
        <v>71</v>
      </c>
      <c r="E14" s="9" t="s">
        <v>11</v>
      </c>
      <c r="F14" s="20">
        <v>1701.3</v>
      </c>
      <c r="G14" s="10">
        <v>1</v>
      </c>
      <c r="H14" s="6"/>
      <c r="K14" s="30"/>
    </row>
    <row r="15" spans="2:11" x14ac:dyDescent="0.2">
      <c r="B15" s="5"/>
      <c r="C15" s="9" t="s">
        <v>48</v>
      </c>
      <c r="D15" s="9" t="s">
        <v>90</v>
      </c>
      <c r="E15" s="9" t="s">
        <v>4</v>
      </c>
      <c r="F15" s="20">
        <v>1522.48</v>
      </c>
      <c r="G15" s="10">
        <v>1</v>
      </c>
      <c r="H15" s="6"/>
      <c r="K15" s="30"/>
    </row>
    <row r="16" spans="2:11" x14ac:dyDescent="0.2">
      <c r="B16" s="5"/>
      <c r="C16" s="9" t="s">
        <v>42</v>
      </c>
      <c r="D16" s="9" t="s">
        <v>68</v>
      </c>
      <c r="E16" s="9" t="s">
        <v>6</v>
      </c>
      <c r="F16" s="20">
        <v>1716.88</v>
      </c>
      <c r="G16" s="10">
        <v>1</v>
      </c>
      <c r="H16" s="6"/>
      <c r="K16" s="30"/>
    </row>
    <row r="17" spans="2:11" x14ac:dyDescent="0.2">
      <c r="B17" s="5"/>
      <c r="C17" s="9" t="s">
        <v>19</v>
      </c>
      <c r="D17" s="9" t="s">
        <v>103</v>
      </c>
      <c r="E17" s="9" t="s">
        <v>2</v>
      </c>
      <c r="F17" s="20">
        <v>1302.7</v>
      </c>
      <c r="G17" s="10">
        <v>0.56750177497679011</v>
      </c>
      <c r="H17" s="6"/>
      <c r="K17" s="30"/>
    </row>
    <row r="18" spans="2:11" x14ac:dyDescent="0.2">
      <c r="B18" s="5"/>
      <c r="C18" s="9" t="s">
        <v>54</v>
      </c>
      <c r="D18" s="9" t="s">
        <v>78</v>
      </c>
      <c r="E18" s="9" t="s">
        <v>6</v>
      </c>
      <c r="F18" s="20">
        <v>1616.75</v>
      </c>
      <c r="G18" s="10">
        <v>1</v>
      </c>
      <c r="H18" s="6"/>
      <c r="K18" s="30"/>
    </row>
    <row r="19" spans="2:11" x14ac:dyDescent="0.2">
      <c r="B19" s="5"/>
      <c r="C19" s="9" t="s">
        <v>50</v>
      </c>
      <c r="D19" s="9" t="s">
        <v>94</v>
      </c>
      <c r="E19" s="9" t="s">
        <v>4</v>
      </c>
      <c r="F19" s="20">
        <v>1468.22</v>
      </c>
      <c r="G19" s="10">
        <v>0.24584274964830899</v>
      </c>
      <c r="H19" s="6"/>
      <c r="K19" s="30"/>
    </row>
    <row r="20" spans="2:11" x14ac:dyDescent="0.2">
      <c r="B20" s="5"/>
      <c r="C20" s="9" t="s">
        <v>20</v>
      </c>
      <c r="D20" s="9" t="s">
        <v>80</v>
      </c>
      <c r="E20" s="9" t="s">
        <v>11</v>
      </c>
      <c r="F20" s="20">
        <v>1591.73</v>
      </c>
      <c r="G20" s="10">
        <v>1</v>
      </c>
      <c r="H20" s="6"/>
      <c r="K20" s="30"/>
    </row>
    <row r="21" spans="2:11" x14ac:dyDescent="0.2">
      <c r="B21" s="5"/>
      <c r="C21" s="9" t="s">
        <v>25</v>
      </c>
      <c r="D21" s="9" t="s">
        <v>87</v>
      </c>
      <c r="E21" s="9" t="s">
        <v>4</v>
      </c>
      <c r="F21" s="20">
        <v>1556.71</v>
      </c>
      <c r="G21" s="10">
        <v>1</v>
      </c>
      <c r="H21" s="6"/>
      <c r="K21" s="30"/>
    </row>
    <row r="22" spans="2:11" x14ac:dyDescent="0.2">
      <c r="B22" s="5"/>
      <c r="C22" s="9" t="s">
        <v>41</v>
      </c>
      <c r="D22" s="9" t="s">
        <v>61</v>
      </c>
      <c r="E22" s="9" t="s">
        <v>6</v>
      </c>
      <c r="F22" s="20">
        <v>1834.12</v>
      </c>
      <c r="G22" s="10">
        <v>1</v>
      </c>
      <c r="H22" s="6"/>
      <c r="K22" s="30"/>
    </row>
    <row r="23" spans="2:11" x14ac:dyDescent="0.2">
      <c r="B23" s="5"/>
      <c r="C23" s="9" t="s">
        <v>31</v>
      </c>
      <c r="D23" s="9" t="s">
        <v>60</v>
      </c>
      <c r="E23" s="9" t="s">
        <v>6</v>
      </c>
      <c r="F23" s="20">
        <v>1870</v>
      </c>
      <c r="G23" s="10">
        <v>1</v>
      </c>
      <c r="H23" s="6"/>
      <c r="K23" s="30"/>
    </row>
    <row r="24" spans="2:11" x14ac:dyDescent="0.2">
      <c r="B24" s="5"/>
      <c r="C24" s="9" t="s">
        <v>18</v>
      </c>
      <c r="D24" s="9" t="s">
        <v>67</v>
      </c>
      <c r="E24" s="9" t="s">
        <v>6</v>
      </c>
      <c r="F24" s="20">
        <v>1724.15</v>
      </c>
      <c r="G24" s="10">
        <v>1</v>
      </c>
      <c r="H24" s="6"/>
      <c r="K24" s="30"/>
    </row>
    <row r="25" spans="2:11" x14ac:dyDescent="0.2">
      <c r="B25" s="5"/>
      <c r="C25" s="9" t="s">
        <v>43</v>
      </c>
      <c r="D25" s="9" t="s">
        <v>102</v>
      </c>
      <c r="E25" s="9" t="s">
        <v>4</v>
      </c>
      <c r="F25" s="20">
        <v>1351.09</v>
      </c>
      <c r="G25" s="10">
        <v>1</v>
      </c>
      <c r="H25" s="6"/>
      <c r="K25" s="30"/>
    </row>
    <row r="26" spans="2:11" x14ac:dyDescent="0.2">
      <c r="B26" s="5"/>
      <c r="C26" s="9" t="s">
        <v>13</v>
      </c>
      <c r="D26" s="9" t="s">
        <v>104</v>
      </c>
      <c r="E26" s="9" t="s">
        <v>2</v>
      </c>
      <c r="F26" s="20">
        <v>1294.49</v>
      </c>
      <c r="G26" s="10">
        <v>5.325390929929457E-2</v>
      </c>
      <c r="H26" s="6"/>
      <c r="K26" s="30"/>
    </row>
    <row r="27" spans="2:11" x14ac:dyDescent="0.2">
      <c r="B27" s="5"/>
      <c r="C27" s="9" t="s">
        <v>26</v>
      </c>
      <c r="D27" s="9" t="s">
        <v>77</v>
      </c>
      <c r="E27" s="9" t="s">
        <v>5</v>
      </c>
      <c r="F27" s="20">
        <v>1617.02</v>
      </c>
      <c r="G27" s="10">
        <v>1</v>
      </c>
      <c r="H27" s="6"/>
      <c r="K27" s="30"/>
    </row>
    <row r="28" spans="2:11" x14ac:dyDescent="0.2">
      <c r="B28" s="5"/>
      <c r="C28" s="9" t="s">
        <v>51</v>
      </c>
      <c r="D28" s="9" t="s">
        <v>97</v>
      </c>
      <c r="E28" s="9" t="s">
        <v>5</v>
      </c>
      <c r="F28" s="20">
        <v>1436.04</v>
      </c>
      <c r="G28" s="10">
        <v>0.23040771087220324</v>
      </c>
      <c r="H28" s="6"/>
      <c r="K28" s="30"/>
    </row>
    <row r="29" spans="2:11" x14ac:dyDescent="0.2">
      <c r="B29" s="5"/>
      <c r="C29" s="9" t="s">
        <v>55</v>
      </c>
      <c r="D29" s="9" t="s">
        <v>70</v>
      </c>
      <c r="E29" s="9" t="s">
        <v>6</v>
      </c>
      <c r="F29" s="20">
        <v>1702.06</v>
      </c>
      <c r="G29" s="10">
        <v>1</v>
      </c>
      <c r="H29" s="6"/>
      <c r="K29" s="30"/>
    </row>
    <row r="30" spans="2:11" x14ac:dyDescent="0.2">
      <c r="B30" s="5"/>
      <c r="C30" s="9" t="s">
        <v>22</v>
      </c>
      <c r="D30" s="9" t="s">
        <v>76</v>
      </c>
      <c r="E30" s="9" t="s">
        <v>5</v>
      </c>
      <c r="F30" s="20">
        <v>1650.12</v>
      </c>
      <c r="G30" s="10">
        <v>1</v>
      </c>
      <c r="H30" s="6"/>
      <c r="K30" s="30"/>
    </row>
    <row r="31" spans="2:11" x14ac:dyDescent="0.2">
      <c r="B31" s="5"/>
      <c r="C31" s="9" t="s">
        <v>37</v>
      </c>
      <c r="D31" s="9" t="s">
        <v>100</v>
      </c>
      <c r="E31" s="9" t="s">
        <v>5</v>
      </c>
      <c r="F31" s="20">
        <v>1388.93</v>
      </c>
      <c r="G31" s="10">
        <v>0.11188192206746758</v>
      </c>
      <c r="H31" s="6"/>
      <c r="K31" s="30"/>
    </row>
    <row r="32" spans="2:11" x14ac:dyDescent="0.2">
      <c r="B32" s="5"/>
      <c r="C32" s="9" t="s">
        <v>46</v>
      </c>
      <c r="D32" s="9" t="s">
        <v>79</v>
      </c>
      <c r="E32" s="9" t="s">
        <v>5</v>
      </c>
      <c r="F32" s="20">
        <v>1599.45</v>
      </c>
      <c r="G32" s="10">
        <v>1</v>
      </c>
      <c r="H32" s="6"/>
      <c r="K32" s="30"/>
    </row>
    <row r="33" spans="2:11" x14ac:dyDescent="0.2">
      <c r="B33" s="5"/>
      <c r="C33" s="9" t="s">
        <v>1</v>
      </c>
      <c r="D33" s="9" t="s">
        <v>73</v>
      </c>
      <c r="E33" s="9" t="s">
        <v>2</v>
      </c>
      <c r="F33" s="20">
        <v>1675.75</v>
      </c>
      <c r="G33" s="10">
        <v>1</v>
      </c>
      <c r="H33" s="6"/>
      <c r="K33" s="30"/>
    </row>
    <row r="34" spans="2:11" x14ac:dyDescent="0.2">
      <c r="B34" s="5"/>
      <c r="C34" s="9" t="s">
        <v>12</v>
      </c>
      <c r="D34" s="9" t="s">
        <v>65</v>
      </c>
      <c r="E34" s="9" t="s">
        <v>4</v>
      </c>
      <c r="F34" s="20">
        <v>1736.57</v>
      </c>
      <c r="G34" s="10">
        <v>1</v>
      </c>
      <c r="H34" s="6"/>
      <c r="K34" s="30"/>
    </row>
    <row r="35" spans="2:11" x14ac:dyDescent="0.2">
      <c r="B35" s="5"/>
      <c r="C35" s="9" t="s">
        <v>21</v>
      </c>
      <c r="D35" s="9" t="s">
        <v>64</v>
      </c>
      <c r="E35" s="9" t="s">
        <v>6</v>
      </c>
      <c r="F35" s="20">
        <v>1756.27</v>
      </c>
      <c r="G35" s="10">
        <v>1</v>
      </c>
      <c r="H35" s="6"/>
      <c r="K35" s="30"/>
    </row>
    <row r="36" spans="2:11" x14ac:dyDescent="0.2">
      <c r="B36" s="5"/>
      <c r="C36" s="9" t="s">
        <v>27</v>
      </c>
      <c r="D36" s="9" t="s">
        <v>105</v>
      </c>
      <c r="E36" s="9" t="s">
        <v>49</v>
      </c>
      <c r="F36" s="20">
        <v>1279.25</v>
      </c>
      <c r="G36" s="10">
        <v>0.92914537907852834</v>
      </c>
      <c r="H36" s="6"/>
      <c r="K36" s="30"/>
    </row>
    <row r="37" spans="2:11" x14ac:dyDescent="0.2">
      <c r="B37" s="5"/>
      <c r="C37" s="9" t="s">
        <v>33</v>
      </c>
      <c r="D37" s="9" t="s">
        <v>88</v>
      </c>
      <c r="E37" s="9" t="s">
        <v>6</v>
      </c>
      <c r="F37" s="20">
        <v>1553.14</v>
      </c>
      <c r="G37" s="10">
        <v>1</v>
      </c>
      <c r="H37" s="6"/>
      <c r="K37" s="30"/>
    </row>
    <row r="38" spans="2:11" x14ac:dyDescent="0.2">
      <c r="B38" s="5"/>
      <c r="C38" s="9" t="s">
        <v>44</v>
      </c>
      <c r="D38" s="9" t="s">
        <v>89</v>
      </c>
      <c r="E38" s="9" t="s">
        <v>2</v>
      </c>
      <c r="F38" s="20">
        <v>1539.47</v>
      </c>
      <c r="G38" s="10">
        <v>0.47624397790734213</v>
      </c>
      <c r="H38" s="6"/>
      <c r="K38" s="30"/>
    </row>
    <row r="39" spans="2:11" x14ac:dyDescent="0.2">
      <c r="B39" s="5"/>
      <c r="C39" s="9" t="s">
        <v>16</v>
      </c>
      <c r="D39" s="9" t="s">
        <v>92</v>
      </c>
      <c r="E39" s="9" t="s">
        <v>11</v>
      </c>
      <c r="F39" s="20">
        <v>1501.5</v>
      </c>
      <c r="G39" s="10">
        <v>1</v>
      </c>
      <c r="H39" s="6"/>
      <c r="K39" s="30"/>
    </row>
    <row r="40" spans="2:11" x14ac:dyDescent="0.2">
      <c r="B40" s="5"/>
      <c r="C40" s="9" t="s">
        <v>38</v>
      </c>
      <c r="D40" s="9" t="s">
        <v>63</v>
      </c>
      <c r="E40" s="9" t="s">
        <v>6</v>
      </c>
      <c r="F40" s="20">
        <v>1760.38</v>
      </c>
      <c r="G40" s="10">
        <v>1</v>
      </c>
      <c r="H40" s="6"/>
      <c r="K40" s="30"/>
    </row>
    <row r="41" spans="2:11" x14ac:dyDescent="0.2">
      <c r="B41" s="5"/>
      <c r="C41" s="9" t="s">
        <v>8</v>
      </c>
      <c r="D41" s="9" t="s">
        <v>96</v>
      </c>
      <c r="E41" s="9" t="s">
        <v>5</v>
      </c>
      <c r="F41" s="20">
        <v>1454.96</v>
      </c>
      <c r="G41" s="10">
        <v>1</v>
      </c>
      <c r="H41" s="6"/>
      <c r="K41" s="30"/>
    </row>
    <row r="42" spans="2:11" x14ac:dyDescent="0.2">
      <c r="B42" s="5"/>
      <c r="C42" s="9" t="s">
        <v>29</v>
      </c>
      <c r="D42" s="9" t="s">
        <v>99</v>
      </c>
      <c r="E42" s="9" t="s">
        <v>5</v>
      </c>
      <c r="F42" s="20">
        <v>1429.48</v>
      </c>
      <c r="G42" s="10">
        <v>1</v>
      </c>
      <c r="H42" s="6"/>
      <c r="K42" s="30"/>
    </row>
    <row r="43" spans="2:11" x14ac:dyDescent="0.2">
      <c r="B43" s="5"/>
      <c r="C43" s="9" t="s">
        <v>14</v>
      </c>
      <c r="D43" s="9" t="s">
        <v>91</v>
      </c>
      <c r="E43" s="9" t="s">
        <v>6</v>
      </c>
      <c r="F43" s="20">
        <v>1506.77</v>
      </c>
      <c r="G43" s="10">
        <v>1</v>
      </c>
      <c r="H43" s="6"/>
      <c r="K43" s="30"/>
    </row>
    <row r="44" spans="2:11" x14ac:dyDescent="0.2">
      <c r="B44" s="5"/>
      <c r="C44" s="9" t="s">
        <v>32</v>
      </c>
      <c r="D44" s="9" t="s">
        <v>69</v>
      </c>
      <c r="E44" s="9" t="s">
        <v>4</v>
      </c>
      <c r="F44" s="20">
        <v>1706.83</v>
      </c>
      <c r="G44" s="10">
        <v>1</v>
      </c>
      <c r="H44" s="6"/>
      <c r="K44" s="30"/>
    </row>
    <row r="45" spans="2:11" x14ac:dyDescent="0.2">
      <c r="B45" s="5"/>
      <c r="C45" s="9" t="s">
        <v>3</v>
      </c>
      <c r="D45" s="9" t="s">
        <v>98</v>
      </c>
      <c r="E45" s="9" t="s">
        <v>4</v>
      </c>
      <c r="F45" s="20">
        <v>1432.76</v>
      </c>
      <c r="G45" s="10">
        <v>1</v>
      </c>
      <c r="H45" s="6"/>
      <c r="K45" s="30"/>
    </row>
    <row r="46" spans="2:11" x14ac:dyDescent="0.2">
      <c r="B46" s="5"/>
      <c r="C46" s="9" t="s">
        <v>28</v>
      </c>
      <c r="D46" s="9" t="s">
        <v>58</v>
      </c>
      <c r="E46" s="9" t="s">
        <v>6</v>
      </c>
      <c r="F46" s="20">
        <v>1877.18</v>
      </c>
      <c r="G46" s="10">
        <v>1</v>
      </c>
      <c r="H46" s="6"/>
      <c r="K46" s="30"/>
    </row>
    <row r="47" spans="2:11" x14ac:dyDescent="0.2">
      <c r="B47" s="5"/>
      <c r="C47" s="9" t="s">
        <v>9</v>
      </c>
      <c r="D47" s="9" t="s">
        <v>75</v>
      </c>
      <c r="E47" s="9" t="s">
        <v>6</v>
      </c>
      <c r="F47" s="20">
        <v>1654.69</v>
      </c>
      <c r="G47" s="10">
        <v>1</v>
      </c>
      <c r="H47" s="6"/>
      <c r="K47" s="30"/>
    </row>
    <row r="48" spans="2:11" x14ac:dyDescent="0.2">
      <c r="B48" s="5"/>
      <c r="C48" s="9" t="s">
        <v>23</v>
      </c>
      <c r="D48" s="9" t="s">
        <v>93</v>
      </c>
      <c r="E48" s="9" t="s">
        <v>4</v>
      </c>
      <c r="F48" s="20">
        <v>1479.04</v>
      </c>
      <c r="G48" s="10">
        <v>1</v>
      </c>
      <c r="H48" s="6"/>
      <c r="K48" s="30"/>
    </row>
    <row r="49" spans="2:11" x14ac:dyDescent="0.2">
      <c r="B49" s="5"/>
      <c r="C49" s="9" t="s">
        <v>53</v>
      </c>
      <c r="D49" s="9" t="s">
        <v>82</v>
      </c>
      <c r="E49" s="9" t="s">
        <v>6</v>
      </c>
      <c r="F49" s="20">
        <v>1582.69</v>
      </c>
      <c r="G49" s="10">
        <v>0.44435534245344988</v>
      </c>
      <c r="H49" s="6"/>
      <c r="K49" s="30"/>
    </row>
    <row r="50" spans="2:11" x14ac:dyDescent="0.2">
      <c r="B50" s="5"/>
      <c r="C50" s="9" t="s">
        <v>52</v>
      </c>
      <c r="D50" s="9" t="s">
        <v>86</v>
      </c>
      <c r="E50" s="9" t="s">
        <v>6</v>
      </c>
      <c r="F50" s="20">
        <v>1557.47</v>
      </c>
      <c r="G50" s="10">
        <v>0.23369721973376323</v>
      </c>
      <c r="H50" s="6"/>
      <c r="K50" s="30"/>
    </row>
    <row r="51" spans="2:11" x14ac:dyDescent="0.2">
      <c r="B51" s="5"/>
      <c r="C51" s="9" t="s">
        <v>15</v>
      </c>
      <c r="D51" s="9" t="s">
        <v>72</v>
      </c>
      <c r="E51" s="9" t="s">
        <v>2</v>
      </c>
      <c r="F51" s="20">
        <v>1681.88</v>
      </c>
      <c r="G51" s="10">
        <v>1</v>
      </c>
      <c r="H51" s="6"/>
      <c r="K51" s="30"/>
    </row>
    <row r="52" spans="2:11" x14ac:dyDescent="0.2">
      <c r="B52" s="5"/>
      <c r="C52" s="9" t="s">
        <v>30</v>
      </c>
      <c r="D52" s="9" t="s">
        <v>74</v>
      </c>
      <c r="E52" s="9" t="s">
        <v>11</v>
      </c>
      <c r="F52" s="20">
        <v>1672.62</v>
      </c>
      <c r="G52" s="10">
        <v>1</v>
      </c>
      <c r="H52" s="6"/>
    </row>
    <row r="53" spans="2:11" x14ac:dyDescent="0.2">
      <c r="B53" s="5"/>
      <c r="C53" s="9" t="s">
        <v>39</v>
      </c>
      <c r="D53" s="9" t="s">
        <v>95</v>
      </c>
      <c r="E53" s="9" t="s">
        <v>5</v>
      </c>
      <c r="F53" s="20">
        <v>1462.03</v>
      </c>
      <c r="G53" s="10">
        <v>0.20651438787692564</v>
      </c>
      <c r="H53" s="6"/>
    </row>
    <row r="54" spans="2:11" x14ac:dyDescent="0.2">
      <c r="B54" s="5"/>
      <c r="C54" s="11"/>
      <c r="D54" s="11"/>
      <c r="E54" s="11"/>
      <c r="F54" s="11"/>
      <c r="G54" s="12"/>
      <c r="H54" s="6"/>
    </row>
    <row r="55" spans="2:11" ht="17" thickBot="1" x14ac:dyDescent="0.25">
      <c r="B55" s="13"/>
      <c r="C55" s="14"/>
      <c r="D55" s="14"/>
      <c r="E55" s="14"/>
      <c r="F55" s="14"/>
      <c r="G55" s="15"/>
      <c r="H55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E642-91AF-604B-AE22-E3D5D47E815A}">
  <dimension ref="C1:M31"/>
  <sheetViews>
    <sheetView zoomScale="115" workbookViewId="0">
      <selection activeCell="M14" sqref="M14"/>
    </sheetView>
  </sheetViews>
  <sheetFormatPr baseColWidth="10" defaultRowHeight="16" x14ac:dyDescent="0.2"/>
  <cols>
    <col min="1" max="2" width="10.83203125" style="7"/>
    <col min="3" max="3" width="5.83203125" style="7" customWidth="1"/>
    <col min="4" max="4" width="10.83203125" style="7"/>
    <col min="5" max="5" width="11.5" style="7" bestFit="1" customWidth="1"/>
    <col min="6" max="7" width="13.33203125" style="7" bestFit="1" customWidth="1"/>
    <col min="8" max="8" width="11.33203125" style="7" bestFit="1" customWidth="1"/>
    <col min="9" max="9" width="10.83203125" style="7"/>
    <col min="10" max="10" width="5.83203125" style="7" customWidth="1"/>
    <col min="11" max="16384" width="10.83203125" style="7"/>
  </cols>
  <sheetData>
    <row r="1" spans="3:12" ht="17" thickBot="1" x14ac:dyDescent="0.25"/>
    <row r="2" spans="3:12" x14ac:dyDescent="0.2">
      <c r="C2" s="1"/>
      <c r="D2" s="2"/>
      <c r="E2" s="2"/>
      <c r="F2" s="2"/>
      <c r="G2" s="2"/>
      <c r="H2" s="2"/>
      <c r="I2" s="2"/>
      <c r="J2" s="4"/>
    </row>
    <row r="3" spans="3:12" x14ac:dyDescent="0.2">
      <c r="C3" s="5"/>
      <c r="D3" s="37" t="s">
        <v>152</v>
      </c>
      <c r="E3" s="90" t="s">
        <v>153</v>
      </c>
      <c r="F3" s="90"/>
      <c r="G3" s="90"/>
      <c r="H3" s="90"/>
      <c r="I3" s="37" t="s">
        <v>154</v>
      </c>
      <c r="J3" s="6"/>
    </row>
    <row r="4" spans="3:12" x14ac:dyDescent="0.2">
      <c r="C4" s="5"/>
      <c r="D4" s="88" t="s">
        <v>155</v>
      </c>
      <c r="E4" s="88"/>
      <c r="F4" s="88"/>
      <c r="G4" s="88"/>
      <c r="H4" s="88"/>
      <c r="I4" s="88"/>
      <c r="J4" s="6"/>
    </row>
    <row r="5" spans="3:12" x14ac:dyDescent="0.2">
      <c r="C5" s="5"/>
      <c r="D5" s="38">
        <v>1</v>
      </c>
      <c r="E5" s="39" t="s">
        <v>1</v>
      </c>
      <c r="F5" s="39" t="s">
        <v>55</v>
      </c>
      <c r="G5" s="39" t="s">
        <v>53</v>
      </c>
      <c r="H5" s="39" t="s">
        <v>37</v>
      </c>
      <c r="I5" s="39">
        <v>6349.43</v>
      </c>
      <c r="J5" s="6"/>
    </row>
    <row r="6" spans="3:12" x14ac:dyDescent="0.2">
      <c r="C6" s="5"/>
      <c r="D6" s="38">
        <v>2</v>
      </c>
      <c r="E6" s="39" t="s">
        <v>7</v>
      </c>
      <c r="F6" s="39" t="s">
        <v>18</v>
      </c>
      <c r="G6" s="39" t="s">
        <v>36</v>
      </c>
      <c r="H6" s="39" t="s">
        <v>50</v>
      </c>
      <c r="I6" s="39">
        <v>6337.03</v>
      </c>
      <c r="J6" s="6"/>
    </row>
    <row r="7" spans="3:12" x14ac:dyDescent="0.2">
      <c r="C7" s="5"/>
      <c r="D7" s="38">
        <v>3</v>
      </c>
      <c r="E7" s="39" t="s">
        <v>24</v>
      </c>
      <c r="F7" s="39" t="s">
        <v>42</v>
      </c>
      <c r="G7" s="39" t="s">
        <v>23</v>
      </c>
      <c r="H7" s="39" t="s">
        <v>51</v>
      </c>
      <c r="I7" s="39">
        <v>6362.67</v>
      </c>
      <c r="J7" s="6"/>
      <c r="L7" s="39"/>
    </row>
    <row r="8" spans="3:12" x14ac:dyDescent="0.2">
      <c r="C8" s="5"/>
      <c r="D8" s="38">
        <v>4</v>
      </c>
      <c r="E8" s="39" t="s">
        <v>15</v>
      </c>
      <c r="F8" s="39" t="s">
        <v>32</v>
      </c>
      <c r="G8" s="39" t="s">
        <v>52</v>
      </c>
      <c r="H8" s="39" t="s">
        <v>29</v>
      </c>
      <c r="I8" s="39">
        <v>6375.66</v>
      </c>
      <c r="J8" s="6"/>
      <c r="L8" s="39"/>
    </row>
    <row r="9" spans="3:12" x14ac:dyDescent="0.2">
      <c r="C9" s="5"/>
      <c r="D9" s="38">
        <v>5</v>
      </c>
      <c r="E9" s="39" t="s">
        <v>38</v>
      </c>
      <c r="F9" s="39" t="s">
        <v>40</v>
      </c>
      <c r="G9" s="39" t="s">
        <v>17</v>
      </c>
      <c r="H9" s="38" t="s">
        <v>19</v>
      </c>
      <c r="I9" s="39">
        <v>6338.39</v>
      </c>
      <c r="J9" s="6"/>
    </row>
    <row r="10" spans="3:12" x14ac:dyDescent="0.2">
      <c r="C10" s="5"/>
      <c r="D10" s="38">
        <v>6</v>
      </c>
      <c r="E10" s="39" t="s">
        <v>34</v>
      </c>
      <c r="F10" s="39" t="s">
        <v>9</v>
      </c>
      <c r="G10" s="39" t="s">
        <v>35</v>
      </c>
      <c r="H10" s="39" t="s">
        <v>27</v>
      </c>
      <c r="I10" s="39">
        <v>6368.18</v>
      </c>
      <c r="J10" s="6"/>
    </row>
    <row r="11" spans="3:12" x14ac:dyDescent="0.2">
      <c r="C11" s="5"/>
      <c r="D11" s="38">
        <v>7</v>
      </c>
      <c r="E11" s="39" t="s">
        <v>12</v>
      </c>
      <c r="F11" s="39" t="s">
        <v>20</v>
      </c>
      <c r="G11" s="39" t="s">
        <v>33</v>
      </c>
      <c r="H11" s="39" t="s">
        <v>39</v>
      </c>
      <c r="I11" s="39">
        <v>6343.47</v>
      </c>
      <c r="J11" s="6"/>
    </row>
    <row r="12" spans="3:12" x14ac:dyDescent="0.2">
      <c r="C12" s="5"/>
      <c r="D12" s="38">
        <v>8</v>
      </c>
      <c r="E12" s="39" t="s">
        <v>31</v>
      </c>
      <c r="F12" s="39" t="s">
        <v>46</v>
      </c>
      <c r="G12" s="39" t="s">
        <v>14</v>
      </c>
      <c r="H12" s="39" t="s">
        <v>47</v>
      </c>
      <c r="I12" s="39">
        <v>6346.71</v>
      </c>
      <c r="J12" s="6"/>
    </row>
    <row r="13" spans="3:12" x14ac:dyDescent="0.2">
      <c r="C13" s="5"/>
      <c r="D13" s="38">
        <v>9</v>
      </c>
      <c r="E13" s="39" t="s">
        <v>28</v>
      </c>
      <c r="F13" s="39" t="s">
        <v>30</v>
      </c>
      <c r="G13" s="39" t="s">
        <v>48</v>
      </c>
      <c r="H13" s="39" t="s">
        <v>13</v>
      </c>
      <c r="I13" s="39">
        <v>6366.77</v>
      </c>
      <c r="J13" s="6"/>
    </row>
    <row r="14" spans="3:12" x14ac:dyDescent="0.2">
      <c r="C14" s="5"/>
      <c r="D14" s="38">
        <v>10</v>
      </c>
      <c r="E14" s="39" t="s">
        <v>10</v>
      </c>
      <c r="F14" s="39" t="s">
        <v>54</v>
      </c>
      <c r="G14" s="39" t="s">
        <v>25</v>
      </c>
      <c r="H14" s="39" t="s">
        <v>8</v>
      </c>
      <c r="I14" s="39">
        <v>6388.88</v>
      </c>
      <c r="J14" s="6"/>
    </row>
    <row r="15" spans="3:12" x14ac:dyDescent="0.2">
      <c r="C15" s="5"/>
      <c r="D15" s="38">
        <v>11</v>
      </c>
      <c r="E15" s="39" t="s">
        <v>21</v>
      </c>
      <c r="F15" s="39" t="s">
        <v>22</v>
      </c>
      <c r="G15" s="39" t="s">
        <v>16</v>
      </c>
      <c r="H15" s="39" t="s">
        <v>3</v>
      </c>
      <c r="I15" s="39">
        <v>6340.65</v>
      </c>
      <c r="J15" s="6"/>
    </row>
    <row r="16" spans="3:12" x14ac:dyDescent="0.2">
      <c r="C16" s="5"/>
      <c r="D16" s="38">
        <v>12</v>
      </c>
      <c r="E16" s="39" t="s">
        <v>41</v>
      </c>
      <c r="F16" s="39" t="s">
        <v>26</v>
      </c>
      <c r="G16" s="39" t="s">
        <v>44</v>
      </c>
      <c r="H16" s="39" t="s">
        <v>43</v>
      </c>
      <c r="I16" s="79">
        <f>ROUND(6341.701,2)</f>
        <v>6341.7</v>
      </c>
      <c r="J16" s="6"/>
    </row>
    <row r="17" spans="3:13" x14ac:dyDescent="0.2">
      <c r="C17" s="5"/>
      <c r="D17" s="89" t="s">
        <v>156</v>
      </c>
      <c r="E17" s="89"/>
      <c r="F17" s="89"/>
      <c r="G17" s="89"/>
      <c r="H17" s="89"/>
      <c r="I17" s="89"/>
      <c r="J17" s="6"/>
      <c r="M17" s="39"/>
    </row>
    <row r="18" spans="3:13" x14ac:dyDescent="0.2">
      <c r="C18" s="5"/>
      <c r="D18" s="38" t="s">
        <v>127</v>
      </c>
      <c r="E18" s="39" t="s">
        <v>1</v>
      </c>
      <c r="F18" s="39" t="s">
        <v>3</v>
      </c>
      <c r="G18" s="39" t="s">
        <v>46</v>
      </c>
      <c r="H18" s="39" t="s">
        <v>54</v>
      </c>
      <c r="I18" s="39">
        <v>6324.71</v>
      </c>
      <c r="J18" s="6"/>
      <c r="M18" s="39"/>
    </row>
    <row r="19" spans="3:13" x14ac:dyDescent="0.2">
      <c r="C19" s="5"/>
      <c r="D19" s="38" t="s">
        <v>128</v>
      </c>
      <c r="E19" s="39" t="s">
        <v>7</v>
      </c>
      <c r="F19" s="39" t="s">
        <v>55</v>
      </c>
      <c r="G19" s="39" t="s">
        <v>8</v>
      </c>
      <c r="H19" s="39" t="s">
        <v>9</v>
      </c>
      <c r="I19" s="39">
        <v>6370.8600000000006</v>
      </c>
      <c r="J19" s="6"/>
    </row>
    <row r="20" spans="3:13" x14ac:dyDescent="0.2">
      <c r="C20" s="5"/>
      <c r="D20" s="38" t="s">
        <v>129</v>
      </c>
      <c r="E20" s="39" t="s">
        <v>10</v>
      </c>
      <c r="F20" s="39" t="s">
        <v>12</v>
      </c>
      <c r="G20" s="39" t="s">
        <v>13</v>
      </c>
      <c r="H20" s="39" t="s">
        <v>14</v>
      </c>
      <c r="I20" s="39">
        <v>6298.2899999999991</v>
      </c>
      <c r="J20" s="6"/>
    </row>
    <row r="21" spans="3:13" x14ac:dyDescent="0.2">
      <c r="C21" s="5"/>
      <c r="D21" s="38" t="s">
        <v>130</v>
      </c>
      <c r="E21" s="39" t="s">
        <v>72</v>
      </c>
      <c r="F21" s="39" t="s">
        <v>16</v>
      </c>
      <c r="G21" s="39" t="s">
        <v>17</v>
      </c>
      <c r="H21" s="39" t="s">
        <v>53</v>
      </c>
      <c r="I21" s="39">
        <v>6340.08</v>
      </c>
      <c r="J21" s="6"/>
    </row>
    <row r="22" spans="3:13" x14ac:dyDescent="0.2">
      <c r="C22" s="5"/>
      <c r="D22" s="38" t="s">
        <v>131</v>
      </c>
      <c r="E22" s="39" t="s">
        <v>18</v>
      </c>
      <c r="F22" s="38" t="s">
        <v>19</v>
      </c>
      <c r="G22" s="39" t="s">
        <v>48</v>
      </c>
      <c r="H22" s="39" t="s">
        <v>20</v>
      </c>
      <c r="I22" s="39">
        <v>6141.0599999999995</v>
      </c>
      <c r="J22" s="6"/>
    </row>
    <row r="23" spans="3:13" x14ac:dyDescent="0.2">
      <c r="C23" s="5"/>
      <c r="D23" s="38" t="s">
        <v>132</v>
      </c>
      <c r="E23" s="39" t="s">
        <v>21</v>
      </c>
      <c r="F23" s="39" t="s">
        <v>22</v>
      </c>
      <c r="G23" s="39" t="s">
        <v>52</v>
      </c>
      <c r="H23" s="39" t="s">
        <v>23</v>
      </c>
      <c r="I23" s="80">
        <v>6442.9</v>
      </c>
      <c r="J23" s="6"/>
    </row>
    <row r="24" spans="3:13" x14ac:dyDescent="0.2">
      <c r="C24" s="5"/>
      <c r="D24" s="38" t="s">
        <v>133</v>
      </c>
      <c r="E24" s="39" t="s">
        <v>24</v>
      </c>
      <c r="F24" s="39" t="s">
        <v>25</v>
      </c>
      <c r="G24" s="39" t="s">
        <v>26</v>
      </c>
      <c r="H24" s="39" t="s">
        <v>27</v>
      </c>
      <c r="I24" s="39">
        <v>6213.4400000000005</v>
      </c>
      <c r="J24" s="6"/>
    </row>
    <row r="25" spans="3:13" x14ac:dyDescent="0.2">
      <c r="C25" s="5"/>
      <c r="D25" s="38" t="s">
        <v>134</v>
      </c>
      <c r="E25" s="39" t="s">
        <v>28</v>
      </c>
      <c r="F25" s="39" t="s">
        <v>47</v>
      </c>
      <c r="G25" s="39" t="s">
        <v>29</v>
      </c>
      <c r="H25" s="39" t="s">
        <v>30</v>
      </c>
      <c r="I25" s="39">
        <v>6349.7699999999995</v>
      </c>
      <c r="J25" s="6"/>
    </row>
    <row r="26" spans="3:13" x14ac:dyDescent="0.2">
      <c r="C26" s="5"/>
      <c r="D26" s="38" t="s">
        <v>135</v>
      </c>
      <c r="E26" s="39" t="s">
        <v>31</v>
      </c>
      <c r="F26" s="39" t="s">
        <v>32</v>
      </c>
      <c r="G26" s="39" t="s">
        <v>51</v>
      </c>
      <c r="H26" s="39" t="s">
        <v>33</v>
      </c>
      <c r="I26" s="39">
        <v>6566.01</v>
      </c>
      <c r="J26" s="6"/>
    </row>
    <row r="27" spans="3:13" x14ac:dyDescent="0.2">
      <c r="C27" s="5"/>
      <c r="D27" s="38" t="s">
        <v>136</v>
      </c>
      <c r="E27" s="39" t="s">
        <v>34</v>
      </c>
      <c r="F27" s="39" t="s">
        <v>35</v>
      </c>
      <c r="G27" s="39" t="s">
        <v>36</v>
      </c>
      <c r="H27" s="39" t="s">
        <v>37</v>
      </c>
      <c r="I27" s="39">
        <v>6408.68</v>
      </c>
      <c r="J27" s="6"/>
    </row>
    <row r="28" spans="3:13" x14ac:dyDescent="0.2">
      <c r="C28" s="5"/>
      <c r="D28" s="38" t="s">
        <v>137</v>
      </c>
      <c r="E28" s="39" t="s">
        <v>38</v>
      </c>
      <c r="F28" s="39" t="s">
        <v>50</v>
      </c>
      <c r="G28" s="39" t="s">
        <v>39</v>
      </c>
      <c r="H28" s="39" t="s">
        <v>40</v>
      </c>
      <c r="I28" s="39">
        <v>6391.93</v>
      </c>
      <c r="J28" s="6"/>
    </row>
    <row r="29" spans="3:13" x14ac:dyDescent="0.2">
      <c r="C29" s="5"/>
      <c r="D29" s="38" t="s">
        <v>138</v>
      </c>
      <c r="E29" s="39" t="s">
        <v>41</v>
      </c>
      <c r="F29" s="39" t="s">
        <v>42</v>
      </c>
      <c r="G29" s="39" t="s">
        <v>43</v>
      </c>
      <c r="H29" s="39" t="s">
        <v>44</v>
      </c>
      <c r="I29" s="39">
        <v>6441.56</v>
      </c>
      <c r="J29" s="6"/>
    </row>
    <row r="30" spans="3:13" x14ac:dyDescent="0.2">
      <c r="C30" s="5"/>
      <c r="D30" s="76"/>
      <c r="E30" s="77"/>
      <c r="F30" s="77"/>
      <c r="G30" s="77"/>
      <c r="H30" s="77"/>
      <c r="I30" s="77"/>
      <c r="J30" s="6"/>
    </row>
    <row r="31" spans="3:13" ht="17" thickBot="1" x14ac:dyDescent="0.25">
      <c r="C31" s="13"/>
      <c r="D31" s="14"/>
      <c r="E31" s="14"/>
      <c r="F31" s="14"/>
      <c r="G31" s="14"/>
      <c r="H31" s="14"/>
      <c r="I31" s="14"/>
      <c r="J31" s="16"/>
    </row>
  </sheetData>
  <mergeCells count="3">
    <mergeCell ref="D4:I4"/>
    <mergeCell ref="D17:I17"/>
    <mergeCell ref="E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3945-FD10-2E44-853D-5C213000ABA6}">
  <dimension ref="B1:R28"/>
  <sheetViews>
    <sheetView tabSelected="1" workbookViewId="0">
      <selection activeCell="K22" sqref="K22"/>
    </sheetView>
  </sheetViews>
  <sheetFormatPr baseColWidth="10" defaultRowHeight="16" x14ac:dyDescent="0.2"/>
  <cols>
    <col min="1" max="1" width="10.83203125" style="7"/>
    <col min="2" max="2" width="3.83203125" style="7" customWidth="1"/>
    <col min="3" max="3" width="10.83203125" style="7"/>
    <col min="4" max="4" width="11.1640625" style="7" bestFit="1" customWidth="1"/>
    <col min="5" max="5" width="13.1640625" style="7" bestFit="1" customWidth="1"/>
    <col min="6" max="6" width="10.6640625" style="7" bestFit="1" customWidth="1"/>
    <col min="7" max="7" width="11.33203125" style="7" bestFit="1" customWidth="1"/>
    <col min="8" max="8" width="10.83203125" style="7"/>
    <col min="9" max="9" width="3.83203125" style="7" customWidth="1"/>
    <col min="10" max="10" width="4.33203125" style="7" bestFit="1" customWidth="1"/>
    <col min="11" max="14" width="5.1640625" style="7" bestFit="1" customWidth="1"/>
    <col min="15" max="15" width="11.1640625" style="7" bestFit="1" customWidth="1"/>
    <col min="16" max="16384" width="10.83203125" style="7"/>
  </cols>
  <sheetData>
    <row r="1" spans="2:15" ht="17" thickBot="1" x14ac:dyDescent="0.25"/>
    <row r="2" spans="2:15" x14ac:dyDescent="0.2">
      <c r="B2" s="1"/>
      <c r="C2" s="2"/>
      <c r="D2" s="2"/>
      <c r="E2" s="2"/>
      <c r="F2" s="2"/>
      <c r="G2" s="2"/>
      <c r="H2" s="2"/>
      <c r="I2" s="4"/>
      <c r="K2" s="43"/>
    </row>
    <row r="3" spans="2:15" x14ac:dyDescent="0.2">
      <c r="B3" s="5"/>
      <c r="C3" s="37" t="s">
        <v>172</v>
      </c>
      <c r="D3" s="37" t="s">
        <v>153</v>
      </c>
      <c r="E3" s="37"/>
      <c r="F3" s="37"/>
      <c r="G3" s="37"/>
      <c r="H3" s="37" t="s">
        <v>154</v>
      </c>
      <c r="I3" s="6"/>
      <c r="J3" s="43"/>
      <c r="K3" s="43"/>
      <c r="L3" s="43"/>
      <c r="M3" s="43"/>
      <c r="N3" s="43"/>
      <c r="O3" s="43"/>
    </row>
    <row r="4" spans="2:15" x14ac:dyDescent="0.2">
      <c r="B4" s="5"/>
      <c r="C4" s="38" t="s">
        <v>127</v>
      </c>
      <c r="D4" s="39" t="s">
        <v>1</v>
      </c>
      <c r="E4" s="39" t="s">
        <v>55</v>
      </c>
      <c r="F4" s="39" t="s">
        <v>53</v>
      </c>
      <c r="G4" s="39" t="s">
        <v>37</v>
      </c>
      <c r="H4" s="39">
        <v>6349.43</v>
      </c>
      <c r="I4" s="6"/>
    </row>
    <row r="5" spans="2:15" x14ac:dyDescent="0.2">
      <c r="B5" s="5"/>
      <c r="C5" s="38" t="s">
        <v>128</v>
      </c>
      <c r="D5" s="39" t="s">
        <v>7</v>
      </c>
      <c r="E5" s="39" t="s">
        <v>18</v>
      </c>
      <c r="F5" s="39" t="s">
        <v>36</v>
      </c>
      <c r="G5" s="39" t="s">
        <v>50</v>
      </c>
      <c r="H5" s="39">
        <v>6337.03</v>
      </c>
      <c r="I5" s="6"/>
    </row>
    <row r="6" spans="2:15" x14ac:dyDescent="0.2">
      <c r="B6" s="5"/>
      <c r="C6" s="38" t="s">
        <v>129</v>
      </c>
      <c r="D6" s="39" t="s">
        <v>41</v>
      </c>
      <c r="E6" s="39" t="s">
        <v>26</v>
      </c>
      <c r="F6" s="39" t="s">
        <v>44</v>
      </c>
      <c r="G6" s="39" t="s">
        <v>43</v>
      </c>
      <c r="H6" s="80">
        <v>6341.7</v>
      </c>
      <c r="I6" s="6"/>
    </row>
    <row r="7" spans="2:15" x14ac:dyDescent="0.2">
      <c r="B7" s="5"/>
      <c r="C7" s="38" t="s">
        <v>130</v>
      </c>
      <c r="D7" s="39" t="s">
        <v>15</v>
      </c>
      <c r="E7" s="39" t="s">
        <v>32</v>
      </c>
      <c r="F7" s="39" t="s">
        <v>52</v>
      </c>
      <c r="G7" s="39" t="s">
        <v>29</v>
      </c>
      <c r="H7" s="39">
        <v>6375.66</v>
      </c>
      <c r="I7" s="6"/>
    </row>
    <row r="8" spans="2:15" x14ac:dyDescent="0.2">
      <c r="B8" s="5"/>
      <c r="C8" s="38" t="s">
        <v>131</v>
      </c>
      <c r="D8" s="39" t="s">
        <v>38</v>
      </c>
      <c r="E8" s="39" t="s">
        <v>40</v>
      </c>
      <c r="F8" s="39" t="s">
        <v>17</v>
      </c>
      <c r="G8" s="38" t="s">
        <v>19</v>
      </c>
      <c r="H8" s="39">
        <v>6338.39</v>
      </c>
      <c r="I8" s="6"/>
    </row>
    <row r="9" spans="2:15" x14ac:dyDescent="0.2">
      <c r="B9" s="5"/>
      <c r="C9" s="38" t="s">
        <v>132</v>
      </c>
      <c r="D9" s="39" t="s">
        <v>34</v>
      </c>
      <c r="E9" s="39" t="s">
        <v>9</v>
      </c>
      <c r="F9" s="39" t="s">
        <v>35</v>
      </c>
      <c r="G9" s="39" t="s">
        <v>27</v>
      </c>
      <c r="H9" s="39">
        <v>6368.18</v>
      </c>
      <c r="I9" s="6"/>
    </row>
    <row r="10" spans="2:15" x14ac:dyDescent="0.2">
      <c r="B10" s="5"/>
      <c r="C10" s="38" t="s">
        <v>133</v>
      </c>
      <c r="D10" s="39" t="s">
        <v>24</v>
      </c>
      <c r="E10" s="39" t="s">
        <v>42</v>
      </c>
      <c r="F10" s="39" t="s">
        <v>23</v>
      </c>
      <c r="G10" s="39" t="s">
        <v>51</v>
      </c>
      <c r="H10" s="39">
        <v>6362.67</v>
      </c>
      <c r="I10" s="6"/>
    </row>
    <row r="11" spans="2:15" x14ac:dyDescent="0.2">
      <c r="B11" s="5"/>
      <c r="C11" s="38" t="s">
        <v>134</v>
      </c>
      <c r="D11" s="39" t="s">
        <v>21</v>
      </c>
      <c r="E11" s="39" t="s">
        <v>22</v>
      </c>
      <c r="F11" s="39" t="s">
        <v>16</v>
      </c>
      <c r="G11" s="39" t="s">
        <v>3</v>
      </c>
      <c r="H11" s="39">
        <v>6340.65</v>
      </c>
      <c r="I11" s="6"/>
    </row>
    <row r="12" spans="2:15" x14ac:dyDescent="0.2">
      <c r="B12" s="5"/>
      <c r="C12" s="38" t="s">
        <v>135</v>
      </c>
      <c r="D12" s="39" t="s">
        <v>12</v>
      </c>
      <c r="E12" s="39" t="s">
        <v>20</v>
      </c>
      <c r="F12" s="39" t="s">
        <v>33</v>
      </c>
      <c r="G12" s="39" t="s">
        <v>39</v>
      </c>
      <c r="H12" s="39">
        <v>6343.47</v>
      </c>
      <c r="I12" s="6"/>
    </row>
    <row r="13" spans="2:15" x14ac:dyDescent="0.2">
      <c r="B13" s="5"/>
      <c r="C13" s="38" t="s">
        <v>136</v>
      </c>
      <c r="D13" s="39" t="s">
        <v>31</v>
      </c>
      <c r="E13" s="39" t="s">
        <v>46</v>
      </c>
      <c r="F13" s="39" t="s">
        <v>14</v>
      </c>
      <c r="G13" s="39" t="s">
        <v>47</v>
      </c>
      <c r="H13" s="39">
        <v>6346.71</v>
      </c>
      <c r="I13" s="6"/>
    </row>
    <row r="14" spans="2:15" x14ac:dyDescent="0.2">
      <c r="B14" s="5"/>
      <c r="C14" s="38" t="s">
        <v>137</v>
      </c>
      <c r="D14" s="39" t="s">
        <v>10</v>
      </c>
      <c r="E14" s="39" t="s">
        <v>54</v>
      </c>
      <c r="F14" s="39" t="s">
        <v>25</v>
      </c>
      <c r="G14" s="39" t="s">
        <v>8</v>
      </c>
      <c r="H14" s="39">
        <v>6388.88</v>
      </c>
      <c r="I14" s="6"/>
    </row>
    <row r="15" spans="2:15" x14ac:dyDescent="0.2">
      <c r="B15" s="5"/>
      <c r="C15" s="38" t="s">
        <v>138</v>
      </c>
      <c r="D15" s="39" t="s">
        <v>28</v>
      </c>
      <c r="E15" s="39" t="s">
        <v>30</v>
      </c>
      <c r="F15" s="39" t="s">
        <v>48</v>
      </c>
      <c r="G15" s="39" t="s">
        <v>13</v>
      </c>
      <c r="H15" s="39">
        <v>6366.77</v>
      </c>
      <c r="I15" s="6"/>
    </row>
    <row r="16" spans="2:15" ht="17" thickBot="1" x14ac:dyDescent="0.25">
      <c r="B16" s="13"/>
      <c r="C16" s="14"/>
      <c r="D16" s="14"/>
      <c r="E16" s="14"/>
      <c r="F16" s="14"/>
      <c r="G16" s="14"/>
      <c r="H16" s="14"/>
      <c r="I16" s="16"/>
    </row>
    <row r="17" spans="14:18" x14ac:dyDescent="0.2">
      <c r="N17" s="38"/>
      <c r="O17" s="39"/>
      <c r="P17" s="39"/>
      <c r="Q17" s="39"/>
      <c r="R17" s="39"/>
    </row>
    <row r="18" spans="14:18" x14ac:dyDescent="0.2">
      <c r="N18" s="38"/>
      <c r="O18" s="39"/>
      <c r="P18" s="39"/>
      <c r="Q18" s="39"/>
      <c r="R18" s="39"/>
    </row>
    <row r="19" spans="14:18" x14ac:dyDescent="0.2">
      <c r="N19" s="38"/>
      <c r="O19" s="39"/>
      <c r="P19" s="39"/>
      <c r="Q19" s="39"/>
      <c r="R19" s="39"/>
    </row>
    <row r="20" spans="14:18" x14ac:dyDescent="0.2">
      <c r="N20" s="38"/>
      <c r="O20" s="39"/>
      <c r="P20" s="39"/>
      <c r="Q20" s="39"/>
      <c r="R20" s="39"/>
    </row>
    <row r="21" spans="14:18" x14ac:dyDescent="0.2">
      <c r="N21" s="38"/>
      <c r="O21" s="39"/>
      <c r="P21" s="39"/>
      <c r="Q21" s="39"/>
      <c r="R21" s="38"/>
    </row>
    <row r="22" spans="14:18" x14ac:dyDescent="0.2">
      <c r="N22" s="38"/>
      <c r="O22" s="39"/>
      <c r="P22" s="39"/>
      <c r="Q22" s="39"/>
      <c r="R22" s="39"/>
    </row>
    <row r="23" spans="14:18" x14ac:dyDescent="0.2">
      <c r="N23" s="38"/>
      <c r="O23" s="39"/>
      <c r="P23" s="39"/>
      <c r="Q23" s="39"/>
      <c r="R23" s="39"/>
    </row>
    <row r="24" spans="14:18" x14ac:dyDescent="0.2">
      <c r="N24" s="38"/>
      <c r="O24" s="39"/>
      <c r="P24" s="39"/>
      <c r="Q24" s="39"/>
      <c r="R24" s="39"/>
    </row>
    <row r="25" spans="14:18" x14ac:dyDescent="0.2">
      <c r="N25" s="38"/>
      <c r="O25" s="39"/>
      <c r="P25" s="39"/>
      <c r="Q25" s="39"/>
      <c r="R25" s="39"/>
    </row>
    <row r="26" spans="14:18" x14ac:dyDescent="0.2">
      <c r="N26" s="38"/>
      <c r="O26" s="39"/>
      <c r="P26" s="39"/>
      <c r="Q26" s="39"/>
      <c r="R26" s="39"/>
    </row>
    <row r="27" spans="14:18" x14ac:dyDescent="0.2">
      <c r="N27" s="38"/>
      <c r="O27" s="39"/>
      <c r="P27" s="39"/>
      <c r="Q27" s="39"/>
      <c r="R27" s="39"/>
    </row>
    <row r="28" spans="14:18" x14ac:dyDescent="0.2">
      <c r="N28" s="38"/>
      <c r="O28" s="39"/>
      <c r="P28" s="39"/>
      <c r="Q28" s="39"/>
      <c r="R28" s="39"/>
    </row>
  </sheetData>
  <sortState xmlns:xlrd2="http://schemas.microsoft.com/office/spreadsheetml/2017/richdata2" ref="C4:H15">
    <sortCondition ref="C4:C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C128-CD6A-294D-A5DB-6B1F701D29C5}">
  <dimension ref="B1:G75"/>
  <sheetViews>
    <sheetView topLeftCell="A17" zoomScale="125" workbookViewId="0">
      <selection activeCell="J17" sqref="J17"/>
    </sheetView>
  </sheetViews>
  <sheetFormatPr baseColWidth="10" defaultRowHeight="16" x14ac:dyDescent="0.2"/>
  <cols>
    <col min="1" max="1" width="10.83203125" style="7"/>
    <col min="2" max="2" width="3.83203125" style="7" customWidth="1"/>
    <col min="3" max="3" width="19.1640625" style="7" bestFit="1" customWidth="1"/>
    <col min="4" max="4" width="25" style="7" bestFit="1" customWidth="1"/>
    <col min="5" max="5" width="7.6640625" style="7" bestFit="1" customWidth="1"/>
    <col min="6" max="6" width="28" style="7" bestFit="1" customWidth="1"/>
    <col min="7" max="7" width="3.83203125" style="7" customWidth="1"/>
    <col min="8" max="16384" width="10.83203125" style="7"/>
  </cols>
  <sheetData>
    <row r="1" spans="2:7" ht="17" thickBot="1" x14ac:dyDescent="0.25"/>
    <row r="2" spans="2:7" x14ac:dyDescent="0.2">
      <c r="B2" s="1"/>
      <c r="C2" s="64" t="s">
        <v>197</v>
      </c>
      <c r="D2" s="65" t="s">
        <v>178</v>
      </c>
      <c r="E2" s="66" t="s">
        <v>171</v>
      </c>
      <c r="F2" s="65" t="s">
        <v>179</v>
      </c>
      <c r="G2" s="4"/>
    </row>
    <row r="3" spans="2:7" ht="18" customHeight="1" x14ac:dyDescent="0.2">
      <c r="B3" s="5"/>
      <c r="C3" s="34">
        <v>1</v>
      </c>
      <c r="D3" s="7" t="s">
        <v>180</v>
      </c>
      <c r="E3" s="20">
        <v>1</v>
      </c>
      <c r="F3" s="7" t="s">
        <v>325</v>
      </c>
      <c r="G3" s="6"/>
    </row>
    <row r="4" spans="2:7" ht="18" customHeight="1" x14ac:dyDescent="0.2">
      <c r="B4" s="5"/>
      <c r="C4" s="34">
        <v>2</v>
      </c>
      <c r="D4" s="7" t="s">
        <v>181</v>
      </c>
      <c r="E4" s="20">
        <v>1</v>
      </c>
      <c r="F4" s="7" t="s">
        <v>333</v>
      </c>
      <c r="G4" s="6"/>
    </row>
    <row r="5" spans="2:7" ht="18" customHeight="1" x14ac:dyDescent="0.2">
      <c r="B5" s="5"/>
      <c r="C5" s="34">
        <v>3</v>
      </c>
      <c r="D5" s="7" t="s">
        <v>182</v>
      </c>
      <c r="E5" s="20">
        <v>2</v>
      </c>
      <c r="F5" s="7" t="s">
        <v>326</v>
      </c>
      <c r="G5" s="6"/>
    </row>
    <row r="6" spans="2:7" ht="18" customHeight="1" x14ac:dyDescent="0.2">
      <c r="B6" s="5"/>
      <c r="C6" s="34">
        <v>4</v>
      </c>
      <c r="D6" s="7" t="s">
        <v>183</v>
      </c>
      <c r="E6" s="20">
        <v>2</v>
      </c>
      <c r="F6" s="7" t="s">
        <v>277</v>
      </c>
      <c r="G6" s="6"/>
    </row>
    <row r="7" spans="2:7" ht="18" customHeight="1" x14ac:dyDescent="0.2">
      <c r="B7" s="5"/>
      <c r="C7" s="34">
        <v>5</v>
      </c>
      <c r="D7" s="7" t="s">
        <v>186</v>
      </c>
      <c r="E7" s="20">
        <v>3</v>
      </c>
      <c r="F7" s="7" t="s">
        <v>264</v>
      </c>
      <c r="G7" s="6"/>
    </row>
    <row r="8" spans="2:7" ht="18" customHeight="1" x14ac:dyDescent="0.2">
      <c r="B8" s="5"/>
      <c r="C8" s="34">
        <v>6</v>
      </c>
      <c r="D8" s="7" t="s">
        <v>187</v>
      </c>
      <c r="E8" s="20">
        <v>3</v>
      </c>
      <c r="F8" s="7" t="s">
        <v>311</v>
      </c>
      <c r="G8" s="6"/>
    </row>
    <row r="9" spans="2:7" x14ac:dyDescent="0.2">
      <c r="B9" s="5"/>
      <c r="C9" s="34">
        <v>7</v>
      </c>
      <c r="D9" s="7" t="s">
        <v>191</v>
      </c>
      <c r="E9" s="20">
        <v>3</v>
      </c>
      <c r="F9" s="7" t="s">
        <v>273</v>
      </c>
      <c r="G9" s="6"/>
    </row>
    <row r="10" spans="2:7" ht="18" customHeight="1" x14ac:dyDescent="0.2">
      <c r="B10" s="5"/>
      <c r="C10" s="34">
        <v>8</v>
      </c>
      <c r="D10" s="7" t="s">
        <v>192</v>
      </c>
      <c r="E10" s="20">
        <v>3</v>
      </c>
      <c r="F10" s="7" t="s">
        <v>320</v>
      </c>
      <c r="G10" s="6"/>
    </row>
    <row r="11" spans="2:7" ht="18" customHeight="1" x14ac:dyDescent="0.2">
      <c r="B11" s="5"/>
      <c r="C11" s="34">
        <v>9</v>
      </c>
      <c r="D11" s="7" t="s">
        <v>188</v>
      </c>
      <c r="E11" s="20">
        <v>4</v>
      </c>
      <c r="F11" s="7" t="s">
        <v>287</v>
      </c>
      <c r="G11" s="6"/>
    </row>
    <row r="12" spans="2:7" ht="18" customHeight="1" x14ac:dyDescent="0.2">
      <c r="B12" s="5"/>
      <c r="C12" s="34">
        <v>10</v>
      </c>
      <c r="D12" s="7" t="s">
        <v>189</v>
      </c>
      <c r="E12" s="20">
        <v>4</v>
      </c>
      <c r="F12" s="7" t="s">
        <v>291</v>
      </c>
      <c r="G12" s="6"/>
    </row>
    <row r="13" spans="2:7" ht="18" customHeight="1" x14ac:dyDescent="0.2">
      <c r="B13" s="5"/>
      <c r="C13" s="34">
        <v>11</v>
      </c>
      <c r="D13" s="7" t="s">
        <v>190</v>
      </c>
      <c r="E13" s="20">
        <v>4</v>
      </c>
      <c r="F13" s="7" t="s">
        <v>285</v>
      </c>
      <c r="G13" s="6"/>
    </row>
    <row r="14" spans="2:7" ht="18" customHeight="1" x14ac:dyDescent="0.2">
      <c r="B14" s="5"/>
      <c r="C14" s="34">
        <v>12</v>
      </c>
      <c r="D14" s="7" t="s">
        <v>193</v>
      </c>
      <c r="E14" s="20">
        <v>4</v>
      </c>
      <c r="F14" s="7" t="s">
        <v>316</v>
      </c>
      <c r="G14" s="6"/>
    </row>
    <row r="15" spans="2:7" x14ac:dyDescent="0.2">
      <c r="B15" s="5"/>
      <c r="C15" s="34">
        <v>13</v>
      </c>
      <c r="D15" s="7" t="s">
        <v>184</v>
      </c>
      <c r="E15" s="20">
        <v>5</v>
      </c>
      <c r="F15" s="7" t="s">
        <v>303</v>
      </c>
      <c r="G15" s="6"/>
    </row>
    <row r="16" spans="2:7" x14ac:dyDescent="0.2">
      <c r="B16" s="5"/>
      <c r="C16" s="34">
        <v>14</v>
      </c>
      <c r="D16" s="7" t="s">
        <v>185</v>
      </c>
      <c r="E16" s="20">
        <v>5</v>
      </c>
      <c r="F16" s="7" t="s">
        <v>269</v>
      </c>
      <c r="G16" s="6"/>
    </row>
    <row r="17" spans="2:7" x14ac:dyDescent="0.2">
      <c r="B17" s="5"/>
      <c r="C17" s="34">
        <v>15</v>
      </c>
      <c r="D17" s="7" t="s">
        <v>194</v>
      </c>
      <c r="E17" s="20">
        <v>5</v>
      </c>
      <c r="F17" s="7" t="s">
        <v>299</v>
      </c>
      <c r="G17" s="6"/>
    </row>
    <row r="18" spans="2:7" x14ac:dyDescent="0.2">
      <c r="B18" s="5"/>
      <c r="C18" s="34">
        <v>16</v>
      </c>
      <c r="D18" s="7" t="s">
        <v>183</v>
      </c>
      <c r="E18" s="20">
        <v>5</v>
      </c>
      <c r="F18" s="7" t="s">
        <v>280</v>
      </c>
      <c r="G18" s="6"/>
    </row>
    <row r="19" spans="2:7" x14ac:dyDescent="0.2">
      <c r="B19" s="5"/>
      <c r="C19" s="34">
        <v>17</v>
      </c>
      <c r="D19" s="7" t="s">
        <v>191</v>
      </c>
      <c r="E19" s="20">
        <v>6</v>
      </c>
      <c r="F19" s="7" t="s">
        <v>274</v>
      </c>
      <c r="G19" s="6"/>
    </row>
    <row r="20" spans="2:7" x14ac:dyDescent="0.2">
      <c r="B20" s="5"/>
      <c r="C20" s="34">
        <v>18</v>
      </c>
      <c r="D20" s="7" t="s">
        <v>192</v>
      </c>
      <c r="E20" s="20">
        <v>6</v>
      </c>
      <c r="F20" s="7" t="s">
        <v>321</v>
      </c>
      <c r="G20" s="6"/>
    </row>
    <row r="21" spans="2:7" x14ac:dyDescent="0.2">
      <c r="B21" s="5"/>
      <c r="C21" s="34">
        <v>19</v>
      </c>
      <c r="D21" s="7" t="s">
        <v>195</v>
      </c>
      <c r="E21" s="20">
        <v>6</v>
      </c>
      <c r="F21" s="7" t="s">
        <v>295</v>
      </c>
      <c r="G21" s="6"/>
    </row>
    <row r="22" spans="2:7" x14ac:dyDescent="0.2">
      <c r="B22" s="5"/>
      <c r="C22" s="34">
        <v>20</v>
      </c>
      <c r="D22" s="7" t="s">
        <v>187</v>
      </c>
      <c r="E22" s="20">
        <v>6</v>
      </c>
      <c r="F22" s="7" t="s">
        <v>312</v>
      </c>
      <c r="G22" s="6"/>
    </row>
    <row r="23" spans="2:7" x14ac:dyDescent="0.2">
      <c r="B23" s="5"/>
      <c r="C23" s="34">
        <v>21</v>
      </c>
      <c r="D23" s="7" t="s">
        <v>189</v>
      </c>
      <c r="E23" s="20">
        <v>7</v>
      </c>
      <c r="F23" s="7" t="s">
        <v>292</v>
      </c>
      <c r="G23" s="6"/>
    </row>
    <row r="24" spans="2:7" x14ac:dyDescent="0.2">
      <c r="B24" s="5"/>
      <c r="C24" s="34">
        <v>22</v>
      </c>
      <c r="D24" s="7" t="s">
        <v>188</v>
      </c>
      <c r="E24" s="20">
        <v>7</v>
      </c>
      <c r="F24" s="7" t="s">
        <v>327</v>
      </c>
      <c r="G24" s="6"/>
    </row>
    <row r="25" spans="2:7" x14ac:dyDescent="0.2">
      <c r="B25" s="5"/>
      <c r="C25" s="34">
        <v>23</v>
      </c>
      <c r="D25" s="7" t="s">
        <v>180</v>
      </c>
      <c r="E25" s="20">
        <v>7</v>
      </c>
      <c r="F25" s="7" t="s">
        <v>328</v>
      </c>
      <c r="G25" s="6"/>
    </row>
    <row r="26" spans="2:7" x14ac:dyDescent="0.2">
      <c r="B26" s="5"/>
      <c r="C26" s="34">
        <v>24</v>
      </c>
      <c r="D26" s="7" t="s">
        <v>182</v>
      </c>
      <c r="E26" s="20">
        <v>7</v>
      </c>
      <c r="F26" s="7" t="s">
        <v>307</v>
      </c>
      <c r="G26" s="6"/>
    </row>
    <row r="27" spans="2:7" x14ac:dyDescent="0.2">
      <c r="B27" s="5"/>
      <c r="C27" s="34">
        <v>25</v>
      </c>
      <c r="D27" s="7" t="s">
        <v>194</v>
      </c>
      <c r="E27" s="20">
        <v>8</v>
      </c>
      <c r="F27" s="7" t="s">
        <v>300</v>
      </c>
      <c r="G27" s="6"/>
    </row>
    <row r="28" spans="2:7" x14ac:dyDescent="0.2">
      <c r="B28" s="5"/>
      <c r="C28" s="34">
        <v>26</v>
      </c>
      <c r="D28" s="7" t="s">
        <v>181</v>
      </c>
      <c r="E28" s="20">
        <v>8</v>
      </c>
      <c r="F28" s="7" t="s">
        <v>329</v>
      </c>
      <c r="G28" s="6"/>
    </row>
    <row r="29" spans="2:7" x14ac:dyDescent="0.2">
      <c r="B29" s="5"/>
      <c r="C29" s="34">
        <v>27</v>
      </c>
      <c r="D29" s="7" t="s">
        <v>186</v>
      </c>
      <c r="E29" s="20">
        <v>8</v>
      </c>
      <c r="F29" s="7" t="s">
        <v>265</v>
      </c>
      <c r="G29" s="6"/>
    </row>
    <row r="30" spans="2:7" x14ac:dyDescent="0.2">
      <c r="B30" s="5"/>
      <c r="C30" s="34">
        <v>28</v>
      </c>
      <c r="D30" s="7" t="s">
        <v>183</v>
      </c>
      <c r="E30" s="20">
        <v>8</v>
      </c>
      <c r="F30" s="7" t="s">
        <v>281</v>
      </c>
      <c r="G30" s="6"/>
    </row>
    <row r="31" spans="2:7" x14ac:dyDescent="0.2">
      <c r="B31" s="5"/>
      <c r="C31" s="34">
        <v>29</v>
      </c>
      <c r="D31" s="7" t="s">
        <v>191</v>
      </c>
      <c r="E31" s="20">
        <v>9</v>
      </c>
      <c r="F31" s="7" t="s">
        <v>275</v>
      </c>
      <c r="G31" s="6"/>
    </row>
    <row r="32" spans="2:7" x14ac:dyDescent="0.2">
      <c r="B32" s="5"/>
      <c r="C32" s="34">
        <v>30</v>
      </c>
      <c r="D32" s="7" t="s">
        <v>185</v>
      </c>
      <c r="E32" s="20">
        <v>9</v>
      </c>
      <c r="F32" s="7" t="s">
        <v>271</v>
      </c>
      <c r="G32" s="6"/>
    </row>
    <row r="33" spans="2:7" x14ac:dyDescent="0.2">
      <c r="B33" s="5"/>
      <c r="C33" s="34">
        <v>31</v>
      </c>
      <c r="D33" s="7" t="s">
        <v>193</v>
      </c>
      <c r="E33" s="20">
        <v>9</v>
      </c>
      <c r="F33" s="7" t="s">
        <v>317</v>
      </c>
      <c r="G33" s="6"/>
    </row>
    <row r="34" spans="2:7" x14ac:dyDescent="0.2">
      <c r="B34" s="5"/>
      <c r="C34" s="34">
        <v>32</v>
      </c>
      <c r="D34" s="7" t="s">
        <v>187</v>
      </c>
      <c r="E34" s="20">
        <v>9</v>
      </c>
      <c r="F34" s="7" t="s">
        <v>313</v>
      </c>
      <c r="G34" s="6"/>
    </row>
    <row r="35" spans="2:7" x14ac:dyDescent="0.2">
      <c r="B35" s="5"/>
      <c r="C35" s="34">
        <v>33</v>
      </c>
      <c r="D35" s="7" t="s">
        <v>190</v>
      </c>
      <c r="E35" s="20">
        <v>10</v>
      </c>
      <c r="F35" s="7" t="s">
        <v>286</v>
      </c>
      <c r="G35" s="6"/>
    </row>
    <row r="36" spans="2:7" x14ac:dyDescent="0.2">
      <c r="B36" s="5"/>
      <c r="C36" s="34">
        <v>34</v>
      </c>
      <c r="D36" s="7" t="s">
        <v>188</v>
      </c>
      <c r="E36" s="20">
        <v>10</v>
      </c>
      <c r="F36" s="7" t="s">
        <v>288</v>
      </c>
      <c r="G36" s="6"/>
    </row>
    <row r="37" spans="2:7" x14ac:dyDescent="0.2">
      <c r="B37" s="5"/>
      <c r="C37" s="34">
        <v>35</v>
      </c>
      <c r="D37" s="7" t="s">
        <v>182</v>
      </c>
      <c r="E37" s="20">
        <v>10</v>
      </c>
      <c r="F37" s="7" t="s">
        <v>308</v>
      </c>
      <c r="G37" s="6"/>
    </row>
    <row r="38" spans="2:7" x14ac:dyDescent="0.2">
      <c r="B38" s="5"/>
      <c r="C38" s="34">
        <v>36</v>
      </c>
      <c r="D38" s="7" t="s">
        <v>195</v>
      </c>
      <c r="E38" s="20">
        <v>10</v>
      </c>
      <c r="F38" s="7" t="s">
        <v>296</v>
      </c>
      <c r="G38" s="6"/>
    </row>
    <row r="39" spans="2:7" x14ac:dyDescent="0.2">
      <c r="B39" s="5"/>
      <c r="C39" s="34">
        <v>37</v>
      </c>
      <c r="D39" s="7" t="s">
        <v>184</v>
      </c>
      <c r="E39" s="20">
        <v>11</v>
      </c>
      <c r="F39" s="7" t="s">
        <v>304</v>
      </c>
      <c r="G39" s="6"/>
    </row>
    <row r="40" spans="2:7" x14ac:dyDescent="0.2">
      <c r="B40" s="5"/>
      <c r="C40" s="34">
        <v>38</v>
      </c>
      <c r="D40" s="7" t="s">
        <v>194</v>
      </c>
      <c r="E40" s="20">
        <v>11</v>
      </c>
      <c r="F40" s="7" t="s">
        <v>301</v>
      </c>
      <c r="G40" s="6"/>
    </row>
    <row r="41" spans="2:7" x14ac:dyDescent="0.2">
      <c r="B41" s="5"/>
      <c r="C41" s="34">
        <v>39</v>
      </c>
      <c r="D41" s="7" t="s">
        <v>186</v>
      </c>
      <c r="E41" s="20">
        <v>11</v>
      </c>
      <c r="F41" s="7" t="s">
        <v>266</v>
      </c>
      <c r="G41" s="6"/>
    </row>
    <row r="42" spans="2:7" x14ac:dyDescent="0.2">
      <c r="B42" s="5"/>
      <c r="C42" s="34">
        <v>40</v>
      </c>
      <c r="D42" s="7" t="s">
        <v>183</v>
      </c>
      <c r="E42" s="20">
        <v>11</v>
      </c>
      <c r="F42" s="7" t="s">
        <v>279</v>
      </c>
      <c r="G42" s="6"/>
    </row>
    <row r="43" spans="2:7" x14ac:dyDescent="0.2">
      <c r="B43" s="5"/>
      <c r="C43" s="34">
        <v>41</v>
      </c>
      <c r="D43" s="7" t="s">
        <v>192</v>
      </c>
      <c r="E43" s="20">
        <v>12</v>
      </c>
      <c r="F43" s="7" t="s">
        <v>322</v>
      </c>
      <c r="G43" s="6"/>
    </row>
    <row r="44" spans="2:7" x14ac:dyDescent="0.2">
      <c r="B44" s="5"/>
      <c r="C44" s="34">
        <v>42</v>
      </c>
      <c r="D44" s="7" t="s">
        <v>189</v>
      </c>
      <c r="E44" s="20">
        <v>12</v>
      </c>
      <c r="F44" s="7" t="s">
        <v>293</v>
      </c>
      <c r="G44" s="6"/>
    </row>
    <row r="45" spans="2:7" x14ac:dyDescent="0.2">
      <c r="B45" s="5"/>
      <c r="C45" s="34">
        <v>43</v>
      </c>
      <c r="D45" s="7" t="s">
        <v>191</v>
      </c>
      <c r="E45" s="20">
        <v>12</v>
      </c>
      <c r="F45" s="7" t="s">
        <v>276</v>
      </c>
      <c r="G45" s="6"/>
    </row>
    <row r="46" spans="2:7" x14ac:dyDescent="0.2">
      <c r="B46" s="5"/>
      <c r="C46" s="34">
        <v>44</v>
      </c>
      <c r="D46" s="7" t="s">
        <v>193</v>
      </c>
      <c r="E46" s="20">
        <v>12</v>
      </c>
      <c r="F46" s="7" t="s">
        <v>318</v>
      </c>
      <c r="G46" s="6"/>
    </row>
    <row r="47" spans="2:7" x14ac:dyDescent="0.2">
      <c r="B47" s="5"/>
      <c r="C47" s="34">
        <v>45</v>
      </c>
      <c r="D47" s="7" t="s">
        <v>188</v>
      </c>
      <c r="E47" s="20">
        <v>13</v>
      </c>
      <c r="F47" s="7" t="s">
        <v>289</v>
      </c>
      <c r="G47" s="6"/>
    </row>
    <row r="48" spans="2:7" x14ac:dyDescent="0.2">
      <c r="B48" s="5"/>
      <c r="C48" s="34">
        <v>46</v>
      </c>
      <c r="D48" s="7" t="s">
        <v>181</v>
      </c>
      <c r="E48" s="20">
        <v>13</v>
      </c>
      <c r="F48" s="7" t="s">
        <v>282</v>
      </c>
      <c r="G48" s="6"/>
    </row>
    <row r="49" spans="2:7" x14ac:dyDescent="0.2">
      <c r="B49" s="5"/>
      <c r="C49" s="34">
        <v>47</v>
      </c>
      <c r="D49" s="7" t="s">
        <v>182</v>
      </c>
      <c r="E49" s="20">
        <v>13</v>
      </c>
      <c r="F49" s="7" t="s">
        <v>309</v>
      </c>
      <c r="G49" s="6"/>
    </row>
    <row r="50" spans="2:7" x14ac:dyDescent="0.2">
      <c r="B50" s="5"/>
      <c r="C50" s="34">
        <v>48</v>
      </c>
      <c r="D50" s="7" t="s">
        <v>187</v>
      </c>
      <c r="E50" s="20">
        <v>13</v>
      </c>
      <c r="F50" s="7" t="s">
        <v>334</v>
      </c>
      <c r="G50" s="6"/>
    </row>
    <row r="51" spans="2:7" x14ac:dyDescent="0.2">
      <c r="B51" s="5"/>
      <c r="C51" s="34">
        <v>49</v>
      </c>
      <c r="D51" s="7" t="s">
        <v>184</v>
      </c>
      <c r="E51" s="20">
        <v>14</v>
      </c>
      <c r="F51" s="7" t="s">
        <v>305</v>
      </c>
      <c r="G51" s="6"/>
    </row>
    <row r="52" spans="2:7" x14ac:dyDescent="0.2">
      <c r="B52" s="5"/>
      <c r="C52" s="34">
        <v>50</v>
      </c>
      <c r="D52" s="7" t="s">
        <v>194</v>
      </c>
      <c r="E52" s="20">
        <v>14</v>
      </c>
      <c r="F52" s="7" t="s">
        <v>196</v>
      </c>
      <c r="G52" s="6"/>
    </row>
    <row r="53" spans="2:7" x14ac:dyDescent="0.2">
      <c r="B53" s="5"/>
      <c r="C53" s="34">
        <v>51</v>
      </c>
      <c r="D53" s="7" t="s">
        <v>185</v>
      </c>
      <c r="E53" s="20">
        <v>14</v>
      </c>
      <c r="F53" s="7" t="s">
        <v>272</v>
      </c>
      <c r="G53" s="6"/>
    </row>
    <row r="54" spans="2:7" x14ac:dyDescent="0.2">
      <c r="B54" s="5"/>
      <c r="C54" s="34">
        <v>52</v>
      </c>
      <c r="D54" s="7" t="s">
        <v>180</v>
      </c>
      <c r="E54" s="20">
        <v>14</v>
      </c>
      <c r="F54" s="7" t="s">
        <v>284</v>
      </c>
      <c r="G54" s="6"/>
    </row>
    <row r="55" spans="2:7" x14ac:dyDescent="0.2">
      <c r="B55" s="5"/>
      <c r="C55" s="34">
        <v>53</v>
      </c>
      <c r="D55" s="7" t="s">
        <v>190</v>
      </c>
      <c r="E55" s="20">
        <v>14</v>
      </c>
      <c r="F55" s="7" t="s">
        <v>330</v>
      </c>
      <c r="G55" s="6"/>
    </row>
    <row r="56" spans="2:7" x14ac:dyDescent="0.2">
      <c r="B56" s="5"/>
      <c r="C56" s="34">
        <v>54</v>
      </c>
      <c r="D56" s="7" t="s">
        <v>186</v>
      </c>
      <c r="E56" s="20">
        <v>14</v>
      </c>
      <c r="F56" s="7" t="s">
        <v>267</v>
      </c>
      <c r="G56" s="6"/>
    </row>
    <row r="57" spans="2:7" x14ac:dyDescent="0.2">
      <c r="B57" s="5"/>
      <c r="C57" s="34">
        <v>55</v>
      </c>
      <c r="D57" s="7" t="s">
        <v>192</v>
      </c>
      <c r="E57" s="20">
        <v>15</v>
      </c>
      <c r="F57" s="7" t="s">
        <v>323</v>
      </c>
      <c r="G57" s="6"/>
    </row>
    <row r="58" spans="2:7" x14ac:dyDescent="0.2">
      <c r="B58" s="5"/>
      <c r="C58" s="34">
        <v>56</v>
      </c>
      <c r="D58" s="7" t="s">
        <v>189</v>
      </c>
      <c r="E58" s="20">
        <v>15</v>
      </c>
      <c r="F58" s="7" t="s">
        <v>331</v>
      </c>
      <c r="G58" s="6"/>
    </row>
    <row r="59" spans="2:7" x14ac:dyDescent="0.2">
      <c r="B59" s="5"/>
      <c r="C59" s="34">
        <v>57</v>
      </c>
      <c r="D59" s="7" t="s">
        <v>191</v>
      </c>
      <c r="E59" s="20">
        <v>15</v>
      </c>
      <c r="F59" s="7" t="s">
        <v>332</v>
      </c>
      <c r="G59" s="6"/>
    </row>
    <row r="60" spans="2:7" x14ac:dyDescent="0.2">
      <c r="B60" s="5"/>
      <c r="C60" s="34">
        <v>58</v>
      </c>
      <c r="D60" s="7" t="s">
        <v>193</v>
      </c>
      <c r="E60" s="20">
        <v>15</v>
      </c>
      <c r="F60" s="7" t="s">
        <v>319</v>
      </c>
      <c r="G60" s="6"/>
    </row>
    <row r="61" spans="2:7" x14ac:dyDescent="0.2">
      <c r="B61" s="5"/>
      <c r="C61" s="34">
        <v>59</v>
      </c>
      <c r="D61" s="7" t="s">
        <v>183</v>
      </c>
      <c r="E61" s="20">
        <v>15</v>
      </c>
      <c r="F61" s="7" t="s">
        <v>278</v>
      </c>
      <c r="G61" s="6"/>
    </row>
    <row r="62" spans="2:7" x14ac:dyDescent="0.2">
      <c r="B62" s="5"/>
      <c r="C62" s="34">
        <v>60</v>
      </c>
      <c r="D62" s="7" t="s">
        <v>195</v>
      </c>
      <c r="E62" s="20">
        <v>15</v>
      </c>
      <c r="F62" s="7" t="s">
        <v>297</v>
      </c>
      <c r="G62" s="6"/>
    </row>
    <row r="63" spans="2:7" x14ac:dyDescent="0.2">
      <c r="B63" s="5"/>
      <c r="C63" s="34">
        <v>61</v>
      </c>
      <c r="D63" s="7" t="s">
        <v>185</v>
      </c>
      <c r="E63" s="20">
        <v>16</v>
      </c>
      <c r="F63" s="7" t="s">
        <v>270</v>
      </c>
      <c r="G63" s="6"/>
    </row>
    <row r="64" spans="2:7" x14ac:dyDescent="0.2">
      <c r="B64" s="5"/>
      <c r="C64" s="34">
        <v>62</v>
      </c>
      <c r="D64" s="7" t="s">
        <v>188</v>
      </c>
      <c r="E64" s="20">
        <v>16</v>
      </c>
      <c r="F64" s="7" t="s">
        <v>290</v>
      </c>
      <c r="G64" s="6"/>
    </row>
    <row r="65" spans="2:7" x14ac:dyDescent="0.2">
      <c r="B65" s="5"/>
      <c r="C65" s="34">
        <v>63</v>
      </c>
      <c r="D65" s="7" t="s">
        <v>181</v>
      </c>
      <c r="E65" s="20">
        <v>16</v>
      </c>
      <c r="F65" s="7" t="s">
        <v>283</v>
      </c>
      <c r="G65" s="6"/>
    </row>
    <row r="66" spans="2:7" x14ac:dyDescent="0.2">
      <c r="B66" s="5"/>
      <c r="C66" s="34">
        <v>64</v>
      </c>
      <c r="D66" s="7" t="s">
        <v>186</v>
      </c>
      <c r="E66" s="20">
        <v>16</v>
      </c>
      <c r="F66" s="7" t="s">
        <v>268</v>
      </c>
      <c r="G66" s="6"/>
    </row>
    <row r="67" spans="2:7" x14ac:dyDescent="0.2">
      <c r="B67" s="5"/>
      <c r="C67" s="34">
        <v>65</v>
      </c>
      <c r="D67" s="7" t="s">
        <v>182</v>
      </c>
      <c r="E67" s="20">
        <v>16</v>
      </c>
      <c r="F67" s="7" t="s">
        <v>310</v>
      </c>
      <c r="G67" s="6"/>
    </row>
    <row r="68" spans="2:7" x14ac:dyDescent="0.2">
      <c r="B68" s="5"/>
      <c r="C68" s="34">
        <v>66</v>
      </c>
      <c r="D68" s="7" t="s">
        <v>187</v>
      </c>
      <c r="E68" s="20">
        <v>16</v>
      </c>
      <c r="F68" s="7" t="s">
        <v>315</v>
      </c>
      <c r="G68" s="6"/>
    </row>
    <row r="69" spans="2:7" x14ac:dyDescent="0.2">
      <c r="B69" s="5"/>
      <c r="C69" s="34">
        <v>67</v>
      </c>
      <c r="D69" s="7" t="s">
        <v>184</v>
      </c>
      <c r="E69" s="20">
        <v>17</v>
      </c>
      <c r="F69" s="7" t="s">
        <v>306</v>
      </c>
      <c r="G69" s="6"/>
    </row>
    <row r="70" spans="2:7" x14ac:dyDescent="0.2">
      <c r="B70" s="5"/>
      <c r="C70" s="34">
        <v>68</v>
      </c>
      <c r="D70" s="7" t="s">
        <v>194</v>
      </c>
      <c r="E70" s="20">
        <v>17</v>
      </c>
      <c r="F70" s="7" t="s">
        <v>302</v>
      </c>
      <c r="G70" s="6"/>
    </row>
    <row r="71" spans="2:7" x14ac:dyDescent="0.2">
      <c r="B71" s="5"/>
      <c r="C71" s="34">
        <v>69</v>
      </c>
      <c r="D71" s="7" t="s">
        <v>192</v>
      </c>
      <c r="E71" s="20">
        <v>17</v>
      </c>
      <c r="F71" s="7" t="s">
        <v>324</v>
      </c>
      <c r="G71" s="6"/>
    </row>
    <row r="72" spans="2:7" x14ac:dyDescent="0.2">
      <c r="B72" s="5"/>
      <c r="C72" s="34">
        <v>70</v>
      </c>
      <c r="D72" s="7" t="s">
        <v>189</v>
      </c>
      <c r="E72" s="20">
        <v>17</v>
      </c>
      <c r="F72" s="7" t="s">
        <v>294</v>
      </c>
      <c r="G72" s="6"/>
    </row>
    <row r="73" spans="2:7" x14ac:dyDescent="0.2">
      <c r="B73" s="5"/>
      <c r="C73" s="34">
        <v>71</v>
      </c>
      <c r="D73" s="7" t="s">
        <v>195</v>
      </c>
      <c r="E73" s="20">
        <v>17</v>
      </c>
      <c r="F73" s="7" t="s">
        <v>298</v>
      </c>
      <c r="G73" s="6"/>
    </row>
    <row r="74" spans="2:7" x14ac:dyDescent="0.2">
      <c r="B74" s="5"/>
      <c r="C74" s="67">
        <v>72</v>
      </c>
      <c r="D74" s="11" t="s">
        <v>193</v>
      </c>
      <c r="E74" s="22">
        <v>17</v>
      </c>
      <c r="F74" s="11" t="s">
        <v>314</v>
      </c>
      <c r="G74" s="6"/>
    </row>
    <row r="75" spans="2:7" ht="17" thickBot="1" x14ac:dyDescent="0.25">
      <c r="B75" s="13"/>
      <c r="C75" s="14"/>
      <c r="D75" s="14"/>
      <c r="E75" s="14"/>
      <c r="F75" s="14"/>
      <c r="G75" s="16"/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2729-6AA0-DC42-8D50-2D663D7FA729}">
  <dimension ref="C1:Z54"/>
  <sheetViews>
    <sheetView zoomScale="69" zoomScaleNormal="110" workbookViewId="0">
      <selection activeCell="T33" sqref="T33"/>
    </sheetView>
  </sheetViews>
  <sheetFormatPr baseColWidth="10" defaultRowHeight="16" x14ac:dyDescent="0.2"/>
  <cols>
    <col min="1" max="2" width="10.83203125" style="7"/>
    <col min="3" max="3" width="4" style="7" customWidth="1"/>
    <col min="4" max="4" width="10.83203125" style="7"/>
    <col min="5" max="5" width="26.83203125" style="7" bestFit="1" customWidth="1"/>
    <col min="6" max="25" width="10.83203125" style="7" customWidth="1"/>
    <col min="26" max="26" width="3.83203125" style="7" customWidth="1"/>
    <col min="27" max="16384" width="10.83203125" style="7"/>
  </cols>
  <sheetData>
    <row r="1" spans="3:26" ht="17" thickBot="1" x14ac:dyDescent="0.25"/>
    <row r="2" spans="3:26" x14ac:dyDescent="0.2"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4"/>
    </row>
    <row r="3" spans="3:26" x14ac:dyDescent="0.2">
      <c r="C3" s="25"/>
      <c r="D3" s="26" t="s">
        <v>173</v>
      </c>
      <c r="E3" s="26" t="s">
        <v>107</v>
      </c>
      <c r="F3" s="26" t="s">
        <v>108</v>
      </c>
      <c r="G3" s="19"/>
      <c r="H3" s="87" t="s">
        <v>171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17" t="s">
        <v>174</v>
      </c>
      <c r="Y3" s="17"/>
      <c r="Z3" s="6"/>
    </row>
    <row r="4" spans="3:26" x14ac:dyDescent="0.2">
      <c r="C4" s="25"/>
      <c r="D4" s="27"/>
      <c r="E4" s="27"/>
      <c r="F4" s="28"/>
      <c r="G4" s="26">
        <v>1</v>
      </c>
      <c r="H4" s="26">
        <v>2</v>
      </c>
      <c r="I4" s="26">
        <v>3</v>
      </c>
      <c r="J4" s="26">
        <v>4</v>
      </c>
      <c r="K4" s="26">
        <v>5</v>
      </c>
      <c r="L4" s="26">
        <v>6</v>
      </c>
      <c r="M4" s="26">
        <v>7</v>
      </c>
      <c r="N4" s="26">
        <v>8</v>
      </c>
      <c r="O4" s="26">
        <v>9</v>
      </c>
      <c r="P4" s="26">
        <v>10</v>
      </c>
      <c r="Q4" s="26">
        <v>11</v>
      </c>
      <c r="R4" s="26">
        <v>12</v>
      </c>
      <c r="S4" s="26">
        <v>13</v>
      </c>
      <c r="T4" s="26">
        <v>14</v>
      </c>
      <c r="U4" s="26">
        <v>15</v>
      </c>
      <c r="V4" s="26">
        <v>16</v>
      </c>
      <c r="W4" s="26">
        <v>17</v>
      </c>
      <c r="X4" s="29"/>
      <c r="Y4" s="29"/>
      <c r="Z4" s="6"/>
    </row>
    <row r="5" spans="3:26" x14ac:dyDescent="0.2">
      <c r="C5" s="91"/>
      <c r="D5" s="86">
        <v>1</v>
      </c>
      <c r="E5" s="86" t="s">
        <v>111</v>
      </c>
      <c r="F5" s="86">
        <v>45736</v>
      </c>
      <c r="G5" s="68"/>
      <c r="H5" s="68"/>
      <c r="I5" s="68" t="s">
        <v>86</v>
      </c>
      <c r="J5" s="68"/>
      <c r="K5" s="68"/>
      <c r="L5" s="68"/>
      <c r="M5" s="68"/>
      <c r="N5" s="68" t="s">
        <v>85</v>
      </c>
      <c r="O5" s="68"/>
      <c r="P5" s="68"/>
      <c r="Q5" s="68" t="s">
        <v>68</v>
      </c>
      <c r="R5" s="68"/>
      <c r="S5" s="68"/>
      <c r="T5" s="68" t="s">
        <v>85</v>
      </c>
      <c r="U5" s="68"/>
      <c r="V5" s="68" t="s">
        <v>66</v>
      </c>
      <c r="W5" s="68"/>
      <c r="X5" s="31"/>
      <c r="Y5" s="31"/>
      <c r="Z5" s="6"/>
    </row>
    <row r="6" spans="3:26" x14ac:dyDescent="0.2">
      <c r="C6" s="91"/>
      <c r="D6" s="86"/>
      <c r="E6" s="86"/>
      <c r="F6" s="86"/>
      <c r="G6" s="68"/>
      <c r="H6" s="68"/>
      <c r="I6" s="68" t="s">
        <v>99</v>
      </c>
      <c r="J6" s="68"/>
      <c r="K6" s="68"/>
      <c r="L6" s="68"/>
      <c r="M6" s="68"/>
      <c r="N6" s="68" t="s">
        <v>81</v>
      </c>
      <c r="O6" s="68"/>
      <c r="P6" s="68"/>
      <c r="Q6" s="68" t="s">
        <v>97</v>
      </c>
      <c r="R6" s="68"/>
      <c r="S6" s="68"/>
      <c r="T6" s="68" t="s">
        <v>94</v>
      </c>
      <c r="U6" s="68"/>
      <c r="V6" s="68" t="s">
        <v>97</v>
      </c>
      <c r="W6" s="68"/>
      <c r="X6" s="32"/>
      <c r="Y6" s="31"/>
      <c r="Z6" s="6"/>
    </row>
    <row r="7" spans="3:26" x14ac:dyDescent="0.2">
      <c r="C7" s="91"/>
      <c r="D7" s="86"/>
      <c r="E7" s="86"/>
      <c r="F7" s="86"/>
      <c r="G7" s="68"/>
      <c r="H7" s="68"/>
      <c r="I7" s="68">
        <v>2.85</v>
      </c>
      <c r="J7" s="68"/>
      <c r="K7" s="68"/>
      <c r="L7" s="68"/>
      <c r="M7" s="68"/>
      <c r="N7" s="68">
        <v>3.61</v>
      </c>
      <c r="O7" s="68"/>
      <c r="P7" s="68"/>
      <c r="Q7" s="68">
        <v>2.85</v>
      </c>
      <c r="R7" s="68"/>
      <c r="S7" s="68"/>
      <c r="T7" s="68">
        <v>2.87</v>
      </c>
      <c r="U7" s="68"/>
      <c r="V7" s="68">
        <v>2.85</v>
      </c>
      <c r="W7" s="68"/>
      <c r="X7" s="7">
        <f>SUM(G7:W7)</f>
        <v>15.03</v>
      </c>
      <c r="Z7" s="6"/>
    </row>
    <row r="8" spans="3:26" x14ac:dyDescent="0.2">
      <c r="C8" s="91"/>
      <c r="D8" s="86">
        <v>2</v>
      </c>
      <c r="E8" s="86" t="s">
        <v>110</v>
      </c>
      <c r="F8" s="86">
        <v>54500</v>
      </c>
      <c r="G8" s="34"/>
      <c r="H8" s="34" t="s">
        <v>85</v>
      </c>
      <c r="I8" s="34"/>
      <c r="J8" s="34"/>
      <c r="K8" s="34"/>
      <c r="L8" s="34"/>
      <c r="M8" s="34" t="s">
        <v>90</v>
      </c>
      <c r="N8" s="34"/>
      <c r="O8" s="34"/>
      <c r="P8" s="34" t="s">
        <v>63</v>
      </c>
      <c r="Q8" s="34"/>
      <c r="R8" s="34"/>
      <c r="S8" s="34" t="s">
        <v>74</v>
      </c>
      <c r="T8" s="34"/>
      <c r="U8" s="34"/>
      <c r="V8" s="34" t="s">
        <v>80</v>
      </c>
      <c r="W8" s="34"/>
      <c r="Z8" s="6"/>
    </row>
    <row r="9" spans="3:26" x14ac:dyDescent="0.2">
      <c r="C9" s="91"/>
      <c r="D9" s="86"/>
      <c r="E9" s="86"/>
      <c r="F9" s="86"/>
      <c r="G9" s="68"/>
      <c r="H9" s="68" t="s">
        <v>67</v>
      </c>
      <c r="I9" s="68"/>
      <c r="J9" s="68"/>
      <c r="K9" s="68"/>
      <c r="L9" s="68"/>
      <c r="M9" s="68" t="s">
        <v>104</v>
      </c>
      <c r="N9" s="68"/>
      <c r="O9" s="68"/>
      <c r="P9" s="68" t="s">
        <v>83</v>
      </c>
      <c r="Q9" s="68"/>
      <c r="R9" s="68"/>
      <c r="S9" s="68" t="s">
        <v>104</v>
      </c>
      <c r="T9" s="68"/>
      <c r="U9" s="68"/>
      <c r="V9" s="68" t="s">
        <v>88</v>
      </c>
      <c r="W9" s="68"/>
      <c r="Z9" s="6"/>
    </row>
    <row r="10" spans="3:26" x14ac:dyDescent="0.2">
      <c r="C10" s="91"/>
      <c r="D10" s="86"/>
      <c r="E10" s="86"/>
      <c r="F10" s="86"/>
      <c r="G10" s="68"/>
      <c r="H10" s="68">
        <v>4</v>
      </c>
      <c r="I10" s="68"/>
      <c r="J10" s="68"/>
      <c r="K10" s="68"/>
      <c r="L10" s="68"/>
      <c r="M10" s="68">
        <v>2.58</v>
      </c>
      <c r="N10" s="68"/>
      <c r="O10" s="68"/>
      <c r="P10" s="68">
        <v>4</v>
      </c>
      <c r="Q10" s="68"/>
      <c r="R10" s="68"/>
      <c r="S10" s="68">
        <v>2.58</v>
      </c>
      <c r="T10" s="68"/>
      <c r="U10" s="68"/>
      <c r="V10" s="68">
        <v>4</v>
      </c>
      <c r="W10" s="68"/>
      <c r="X10" s="7">
        <f>SUM(G10:W10)</f>
        <v>17.16</v>
      </c>
      <c r="Z10" s="6"/>
    </row>
    <row r="11" spans="3:26" x14ac:dyDescent="0.2">
      <c r="C11" s="91"/>
      <c r="D11" s="86">
        <v>3</v>
      </c>
      <c r="E11" s="86" t="s">
        <v>113</v>
      </c>
      <c r="F11" s="86">
        <v>48071</v>
      </c>
      <c r="G11" s="68" t="s">
        <v>73</v>
      </c>
      <c r="H11" s="68"/>
      <c r="I11" s="68"/>
      <c r="J11" s="68"/>
      <c r="K11" s="68"/>
      <c r="L11" s="68"/>
      <c r="M11" s="68" t="s">
        <v>87</v>
      </c>
      <c r="N11" s="68"/>
      <c r="O11" s="68"/>
      <c r="P11" s="68"/>
      <c r="Q11" s="68"/>
      <c r="R11" s="68"/>
      <c r="S11" s="68"/>
      <c r="T11" s="68" t="s">
        <v>73</v>
      </c>
      <c r="U11" s="68"/>
      <c r="V11" s="68"/>
      <c r="W11" s="68"/>
      <c r="Z11" s="6"/>
    </row>
    <row r="12" spans="3:26" x14ac:dyDescent="0.2">
      <c r="C12" s="91"/>
      <c r="D12" s="86"/>
      <c r="E12" s="86"/>
      <c r="F12" s="86"/>
      <c r="G12" s="68" t="s">
        <v>70</v>
      </c>
      <c r="H12" s="68"/>
      <c r="I12" s="68"/>
      <c r="J12" s="68"/>
      <c r="K12" s="68"/>
      <c r="L12" s="68"/>
      <c r="M12" s="68" t="s">
        <v>96</v>
      </c>
      <c r="N12" s="68"/>
      <c r="O12" s="68"/>
      <c r="P12" s="68"/>
      <c r="Q12" s="68"/>
      <c r="R12" s="68"/>
      <c r="S12" s="68"/>
      <c r="T12" s="68" t="s">
        <v>100</v>
      </c>
      <c r="U12" s="68"/>
      <c r="V12" s="68"/>
      <c r="W12" s="68"/>
      <c r="Z12" s="6"/>
    </row>
    <row r="13" spans="3:26" x14ac:dyDescent="0.2">
      <c r="C13" s="91"/>
      <c r="D13" s="86"/>
      <c r="E13" s="86"/>
      <c r="F13" s="86"/>
      <c r="G13" s="68">
        <v>4</v>
      </c>
      <c r="H13" s="68"/>
      <c r="I13" s="68"/>
      <c r="J13" s="68"/>
      <c r="K13" s="68"/>
      <c r="L13" s="68"/>
      <c r="M13" s="68">
        <v>4</v>
      </c>
      <c r="N13" s="68"/>
      <c r="O13" s="68"/>
      <c r="P13" s="68"/>
      <c r="Q13" s="68"/>
      <c r="R13" s="68"/>
      <c r="S13" s="68"/>
      <c r="T13" s="68">
        <v>2.67</v>
      </c>
      <c r="U13" s="68"/>
      <c r="V13" s="68"/>
      <c r="W13" s="68"/>
      <c r="X13" s="7">
        <f>SUM(G13:W13)</f>
        <v>10.67</v>
      </c>
      <c r="Z13" s="6"/>
    </row>
    <row r="14" spans="3:26" x14ac:dyDescent="0.2">
      <c r="C14" s="91"/>
      <c r="D14" s="86">
        <v>4</v>
      </c>
      <c r="E14" s="86" t="s">
        <v>112</v>
      </c>
      <c r="F14" s="86">
        <v>87523</v>
      </c>
      <c r="G14" s="68"/>
      <c r="H14" s="68"/>
      <c r="I14" s="68"/>
      <c r="J14" s="68" t="s">
        <v>63</v>
      </c>
      <c r="K14" s="68"/>
      <c r="L14" s="68"/>
      <c r="M14" s="68" t="s">
        <v>62</v>
      </c>
      <c r="N14" s="68"/>
      <c r="O14" s="68"/>
      <c r="P14" s="68" t="s">
        <v>59</v>
      </c>
      <c r="Q14" s="68"/>
      <c r="R14" s="68"/>
      <c r="S14" s="68" t="s">
        <v>62</v>
      </c>
      <c r="T14" s="68"/>
      <c r="U14" s="68"/>
      <c r="V14" s="68" t="s">
        <v>76</v>
      </c>
      <c r="W14" s="68"/>
      <c r="Z14" s="6"/>
    </row>
    <row r="15" spans="3:26" x14ac:dyDescent="0.2">
      <c r="C15" s="91"/>
      <c r="D15" s="86"/>
      <c r="E15" s="86"/>
      <c r="F15" s="86"/>
      <c r="G15" s="68"/>
      <c r="H15" s="68"/>
      <c r="I15" s="68"/>
      <c r="J15" s="68" t="s">
        <v>71</v>
      </c>
      <c r="K15" s="68"/>
      <c r="L15" s="68"/>
      <c r="M15" s="68" t="s">
        <v>78</v>
      </c>
      <c r="N15" s="68"/>
      <c r="O15" s="68"/>
      <c r="P15" s="68" t="s">
        <v>84</v>
      </c>
      <c r="Q15" s="68"/>
      <c r="R15" s="68"/>
      <c r="S15" s="68" t="s">
        <v>87</v>
      </c>
      <c r="T15" s="68"/>
      <c r="U15" s="68"/>
      <c r="V15" s="68" t="s">
        <v>92</v>
      </c>
      <c r="W15" s="68"/>
      <c r="Z15" s="6"/>
    </row>
    <row r="16" spans="3:26" x14ac:dyDescent="0.2">
      <c r="C16" s="91"/>
      <c r="D16" s="86"/>
      <c r="E16" s="86"/>
      <c r="F16" s="86"/>
      <c r="G16" s="68"/>
      <c r="H16" s="68"/>
      <c r="I16" s="68"/>
      <c r="J16" s="68">
        <v>4</v>
      </c>
      <c r="K16" s="68"/>
      <c r="L16" s="68"/>
      <c r="M16" s="68">
        <v>4</v>
      </c>
      <c r="N16" s="68"/>
      <c r="O16" s="68"/>
      <c r="P16" s="68">
        <v>4</v>
      </c>
      <c r="Q16" s="68"/>
      <c r="R16" s="68"/>
      <c r="S16" s="68">
        <v>4</v>
      </c>
      <c r="T16" s="68"/>
      <c r="U16" s="68"/>
      <c r="V16" s="68">
        <v>4</v>
      </c>
      <c r="W16" s="68"/>
      <c r="X16" s="7">
        <f>SUM(G16:W16)</f>
        <v>20</v>
      </c>
      <c r="Z16" s="6"/>
    </row>
    <row r="17" spans="3:26" x14ac:dyDescent="0.2">
      <c r="C17" s="91"/>
      <c r="D17" s="86">
        <v>5</v>
      </c>
      <c r="E17" s="86" t="s">
        <v>114</v>
      </c>
      <c r="F17" s="86">
        <v>53460</v>
      </c>
      <c r="G17" s="68" t="s">
        <v>82</v>
      </c>
      <c r="H17" s="68"/>
      <c r="I17" s="68"/>
      <c r="J17" s="68"/>
      <c r="K17" s="68"/>
      <c r="L17" s="68"/>
      <c r="M17" s="68"/>
      <c r="N17" s="68" t="s">
        <v>73</v>
      </c>
      <c r="O17" s="68"/>
      <c r="P17" s="68"/>
      <c r="Q17" s="68"/>
      <c r="R17" s="68"/>
      <c r="S17" s="68" t="s">
        <v>78</v>
      </c>
      <c r="T17" s="68"/>
      <c r="U17" s="68"/>
      <c r="V17" s="68" t="s">
        <v>64</v>
      </c>
      <c r="W17" s="68"/>
      <c r="Z17" s="6"/>
    </row>
    <row r="18" spans="3:26" x14ac:dyDescent="0.2">
      <c r="C18" s="91"/>
      <c r="D18" s="86"/>
      <c r="E18" s="86"/>
      <c r="F18" s="86"/>
      <c r="G18" s="68" t="s">
        <v>100</v>
      </c>
      <c r="H18" s="68"/>
      <c r="I18" s="68"/>
      <c r="J18" s="68"/>
      <c r="K18" s="68"/>
      <c r="L18" s="68"/>
      <c r="M18" s="68"/>
      <c r="N18" s="68" t="s">
        <v>82</v>
      </c>
      <c r="O18" s="68"/>
      <c r="P18" s="68"/>
      <c r="Q18" s="68"/>
      <c r="R18" s="68"/>
      <c r="S18" s="68" t="s">
        <v>96</v>
      </c>
      <c r="T18" s="68"/>
      <c r="U18" s="68"/>
      <c r="V18" s="68" t="s">
        <v>98</v>
      </c>
      <c r="W18" s="68"/>
      <c r="Z18" s="6"/>
    </row>
    <row r="19" spans="3:26" x14ac:dyDescent="0.2">
      <c r="C19" s="91"/>
      <c r="D19" s="86"/>
      <c r="E19" s="86"/>
      <c r="F19" s="86"/>
      <c r="G19" s="68">
        <v>1.1100000000000001</v>
      </c>
      <c r="H19" s="68"/>
      <c r="I19" s="68"/>
      <c r="J19" s="68"/>
      <c r="K19" s="68"/>
      <c r="L19" s="68"/>
      <c r="M19" s="68"/>
      <c r="N19" s="68">
        <v>3.17</v>
      </c>
      <c r="O19" s="68"/>
      <c r="P19" s="68"/>
      <c r="Q19" s="68"/>
      <c r="R19" s="68"/>
      <c r="S19" s="68">
        <v>4</v>
      </c>
      <c r="T19" s="68"/>
      <c r="U19" s="68"/>
      <c r="V19" s="68">
        <v>4</v>
      </c>
      <c r="W19" s="68"/>
      <c r="X19" s="7">
        <f>SUM(G19:W19)</f>
        <v>12.280000000000001</v>
      </c>
      <c r="Z19" s="6"/>
    </row>
    <row r="20" spans="3:26" x14ac:dyDescent="0.2">
      <c r="C20" s="91"/>
      <c r="D20" s="86">
        <v>6</v>
      </c>
      <c r="E20" s="86" t="s">
        <v>115</v>
      </c>
      <c r="F20" s="86">
        <v>75000</v>
      </c>
      <c r="G20" s="68"/>
      <c r="H20" s="68" t="s">
        <v>72</v>
      </c>
      <c r="I20" s="68"/>
      <c r="J20" s="68"/>
      <c r="K20" s="68" t="s">
        <v>93</v>
      </c>
      <c r="L20" s="68"/>
      <c r="M20" s="68"/>
      <c r="N20" s="68" t="s">
        <v>67</v>
      </c>
      <c r="O20" s="68"/>
      <c r="P20" s="68"/>
      <c r="Q20" s="68" t="s">
        <v>66</v>
      </c>
      <c r="R20" s="68"/>
      <c r="S20" s="68"/>
      <c r="T20" s="68"/>
      <c r="U20" s="68" t="s">
        <v>72</v>
      </c>
      <c r="V20" s="68"/>
      <c r="W20" s="68"/>
      <c r="Z20" s="6"/>
    </row>
    <row r="21" spans="3:26" x14ac:dyDescent="0.2">
      <c r="C21" s="91"/>
      <c r="D21" s="86"/>
      <c r="E21" s="86"/>
      <c r="F21" s="86"/>
      <c r="G21" s="34"/>
      <c r="H21" s="34" t="s">
        <v>69</v>
      </c>
      <c r="I21" s="34"/>
      <c r="J21" s="34"/>
      <c r="K21" s="34" t="s">
        <v>97</v>
      </c>
      <c r="L21" s="34"/>
      <c r="M21" s="34"/>
      <c r="N21" s="34" t="s">
        <v>94</v>
      </c>
      <c r="O21" s="34"/>
      <c r="P21" s="34"/>
      <c r="Q21" s="34" t="s">
        <v>93</v>
      </c>
      <c r="R21" s="34"/>
      <c r="S21" s="34"/>
      <c r="T21" s="34"/>
      <c r="U21" s="34" t="s">
        <v>99</v>
      </c>
      <c r="V21" s="34"/>
      <c r="W21" s="34"/>
      <c r="Z21" s="6"/>
    </row>
    <row r="22" spans="3:26" x14ac:dyDescent="0.2">
      <c r="C22" s="91"/>
      <c r="D22" s="86"/>
      <c r="E22" s="86"/>
      <c r="F22" s="86"/>
      <c r="G22" s="34"/>
      <c r="H22" s="34">
        <v>4</v>
      </c>
      <c r="I22" s="34"/>
      <c r="J22" s="34"/>
      <c r="K22" s="34">
        <v>2.85</v>
      </c>
      <c r="L22" s="34"/>
      <c r="M22" s="34"/>
      <c r="N22" s="34">
        <v>2.87</v>
      </c>
      <c r="O22" s="34"/>
      <c r="P22" s="34"/>
      <c r="Q22" s="34">
        <v>4</v>
      </c>
      <c r="R22" s="34"/>
      <c r="S22" s="34"/>
      <c r="T22" s="34"/>
      <c r="U22" s="34">
        <v>4</v>
      </c>
      <c r="V22" s="34"/>
      <c r="W22" s="34"/>
      <c r="X22" s="7">
        <f>SUM(G22:W22)</f>
        <v>17.72</v>
      </c>
      <c r="Z22" s="6"/>
    </row>
    <row r="23" spans="3:26" x14ac:dyDescent="0.2">
      <c r="C23" s="91"/>
      <c r="D23" s="86">
        <v>7</v>
      </c>
      <c r="E23" s="86" t="s">
        <v>116</v>
      </c>
      <c r="F23" s="86">
        <v>65878</v>
      </c>
      <c r="G23" s="68"/>
      <c r="H23" s="68"/>
      <c r="I23" s="68"/>
      <c r="J23" s="68" t="s">
        <v>84</v>
      </c>
      <c r="K23" s="68"/>
      <c r="L23" s="68"/>
      <c r="M23" s="68"/>
      <c r="N23" s="68"/>
      <c r="O23" s="68"/>
      <c r="P23" s="68" t="s">
        <v>75</v>
      </c>
      <c r="Q23" s="68"/>
      <c r="R23" s="68"/>
      <c r="S23" s="68"/>
      <c r="T23" s="68" t="s">
        <v>70</v>
      </c>
      <c r="U23" s="68"/>
      <c r="V23" s="68"/>
      <c r="W23" s="68"/>
      <c r="Z23" s="6"/>
    </row>
    <row r="24" spans="3:26" x14ac:dyDescent="0.2">
      <c r="C24" s="91"/>
      <c r="D24" s="86"/>
      <c r="E24" s="86"/>
      <c r="F24" s="86"/>
      <c r="G24" s="68"/>
      <c r="H24" s="68"/>
      <c r="I24" s="68"/>
      <c r="J24" s="68" t="s">
        <v>105</v>
      </c>
      <c r="K24" s="68"/>
      <c r="L24" s="68"/>
      <c r="M24" s="68"/>
      <c r="N24" s="68"/>
      <c r="O24" s="68"/>
      <c r="P24" s="68" t="s">
        <v>105</v>
      </c>
      <c r="Q24" s="68"/>
      <c r="R24" s="68"/>
      <c r="S24" s="68"/>
      <c r="T24" s="68" t="s">
        <v>82</v>
      </c>
      <c r="U24" s="68"/>
      <c r="V24" s="68"/>
      <c r="W24" s="68"/>
      <c r="Z24" s="6"/>
    </row>
    <row r="25" spans="3:26" x14ac:dyDescent="0.2">
      <c r="C25" s="91"/>
      <c r="D25" s="86"/>
      <c r="E25" s="86"/>
      <c r="F25" s="86"/>
      <c r="G25" s="68"/>
      <c r="H25" s="68"/>
      <c r="I25" s="68"/>
      <c r="J25" s="68">
        <v>3.89</v>
      </c>
      <c r="K25" s="68"/>
      <c r="L25" s="68"/>
      <c r="M25" s="68"/>
      <c r="N25" s="68"/>
      <c r="O25" s="68"/>
      <c r="P25" s="68">
        <v>3.89</v>
      </c>
      <c r="Q25" s="68"/>
      <c r="R25" s="68"/>
      <c r="S25" s="68"/>
      <c r="T25" s="68">
        <v>3.17</v>
      </c>
      <c r="U25" s="68"/>
      <c r="V25" s="68"/>
      <c r="W25" s="68"/>
      <c r="X25" s="7">
        <f>SUM(G25:W25)</f>
        <v>10.95</v>
      </c>
      <c r="Z25" s="6"/>
    </row>
    <row r="26" spans="3:26" x14ac:dyDescent="0.2">
      <c r="C26" s="91"/>
      <c r="D26" s="86">
        <v>8</v>
      </c>
      <c r="E26" s="86" t="s">
        <v>117</v>
      </c>
      <c r="F26" s="86">
        <v>92967</v>
      </c>
      <c r="G26" s="68"/>
      <c r="H26" s="68"/>
      <c r="I26" s="68"/>
      <c r="J26" s="68" t="s">
        <v>59</v>
      </c>
      <c r="K26" s="68"/>
      <c r="L26" s="68"/>
      <c r="M26" s="68" t="s">
        <v>58</v>
      </c>
      <c r="N26" s="68"/>
      <c r="O26" s="68"/>
      <c r="P26" s="68"/>
      <c r="Q26" s="68"/>
      <c r="R26" s="68" t="s">
        <v>60</v>
      </c>
      <c r="S26" s="68"/>
      <c r="T26" s="68"/>
      <c r="U26" s="68" t="s">
        <v>75</v>
      </c>
      <c r="V26" s="68"/>
      <c r="W26" s="68" t="s">
        <v>60</v>
      </c>
      <c r="Z26" s="6"/>
    </row>
    <row r="27" spans="3:26" x14ac:dyDescent="0.2">
      <c r="C27" s="91"/>
      <c r="D27" s="86"/>
      <c r="E27" s="86"/>
      <c r="F27" s="86"/>
      <c r="G27" s="68"/>
      <c r="H27" s="68"/>
      <c r="I27" s="68"/>
      <c r="J27" s="68" t="s">
        <v>75</v>
      </c>
      <c r="K27" s="68"/>
      <c r="L27" s="68"/>
      <c r="M27" s="68" t="s">
        <v>74</v>
      </c>
      <c r="N27" s="68"/>
      <c r="O27" s="68"/>
      <c r="P27" s="68"/>
      <c r="Q27" s="68"/>
      <c r="R27" s="68" t="s">
        <v>91</v>
      </c>
      <c r="S27" s="68"/>
      <c r="T27" s="68"/>
      <c r="U27" s="68" t="s">
        <v>84</v>
      </c>
      <c r="V27" s="68"/>
      <c r="W27" s="68" t="s">
        <v>101</v>
      </c>
      <c r="Z27" s="6"/>
    </row>
    <row r="28" spans="3:26" x14ac:dyDescent="0.2">
      <c r="C28" s="91"/>
      <c r="D28" s="86"/>
      <c r="E28" s="86"/>
      <c r="F28" s="86"/>
      <c r="G28" s="68"/>
      <c r="H28" s="68"/>
      <c r="I28" s="68"/>
      <c r="J28" s="68">
        <v>4</v>
      </c>
      <c r="K28" s="68"/>
      <c r="L28" s="68"/>
      <c r="M28" s="68">
        <v>4</v>
      </c>
      <c r="N28" s="68"/>
      <c r="O28" s="68"/>
      <c r="P28" s="68"/>
      <c r="Q28" s="68"/>
      <c r="R28" s="68">
        <v>4</v>
      </c>
      <c r="S28" s="68"/>
      <c r="T28" s="68"/>
      <c r="U28" s="68">
        <v>4</v>
      </c>
      <c r="V28" s="68"/>
      <c r="W28" s="68">
        <v>4</v>
      </c>
      <c r="X28" s="7">
        <f>SUM(G28:W28)</f>
        <v>20</v>
      </c>
      <c r="Z28" s="6"/>
    </row>
    <row r="29" spans="3:26" x14ac:dyDescent="0.2">
      <c r="C29" s="91"/>
      <c r="D29" s="86">
        <v>9</v>
      </c>
      <c r="E29" s="86" t="s">
        <v>122</v>
      </c>
      <c r="F29" s="86">
        <v>87157</v>
      </c>
      <c r="G29" s="68"/>
      <c r="H29" s="68"/>
      <c r="I29" s="68"/>
      <c r="J29" s="68" t="s">
        <v>83</v>
      </c>
      <c r="K29" s="68"/>
      <c r="L29" s="68"/>
      <c r="M29" s="68"/>
      <c r="N29" s="68"/>
      <c r="O29" s="68" t="s">
        <v>61</v>
      </c>
      <c r="P29" s="68"/>
      <c r="Q29" s="68"/>
      <c r="R29" s="68" t="s">
        <v>65</v>
      </c>
      <c r="S29" s="68"/>
      <c r="T29" s="68"/>
      <c r="U29" s="68" t="s">
        <v>71</v>
      </c>
      <c r="V29" s="68"/>
      <c r="W29" s="68" t="s">
        <v>74</v>
      </c>
      <c r="Z29" s="6"/>
    </row>
    <row r="30" spans="3:26" x14ac:dyDescent="0.2">
      <c r="C30" s="91"/>
      <c r="D30" s="86"/>
      <c r="E30" s="86"/>
      <c r="F30" s="86"/>
      <c r="G30" s="34"/>
      <c r="H30" s="34"/>
      <c r="I30" s="34"/>
      <c r="J30" s="34" t="s">
        <v>103</v>
      </c>
      <c r="K30" s="34"/>
      <c r="L30" s="34"/>
      <c r="M30" s="34"/>
      <c r="N30" s="34"/>
      <c r="O30" s="34" t="s">
        <v>89</v>
      </c>
      <c r="P30" s="34"/>
      <c r="Q30" s="34"/>
      <c r="R30" s="34" t="s">
        <v>88</v>
      </c>
      <c r="S30" s="34"/>
      <c r="T30" s="34"/>
      <c r="U30" s="34" t="s">
        <v>83</v>
      </c>
      <c r="V30" s="34"/>
      <c r="W30" s="34" t="s">
        <v>90</v>
      </c>
      <c r="Z30" s="6"/>
    </row>
    <row r="31" spans="3:26" x14ac:dyDescent="0.2">
      <c r="C31" s="91"/>
      <c r="D31" s="86"/>
      <c r="E31" s="86"/>
      <c r="F31" s="86"/>
      <c r="G31" s="34"/>
      <c r="H31" s="34"/>
      <c r="I31" s="34"/>
      <c r="J31" s="34">
        <v>3.35</v>
      </c>
      <c r="K31" s="34"/>
      <c r="L31" s="34"/>
      <c r="M31" s="34"/>
      <c r="N31" s="34"/>
      <c r="O31" s="34">
        <v>3.21</v>
      </c>
      <c r="P31" s="34"/>
      <c r="Q31" s="34"/>
      <c r="R31" s="34">
        <v>4</v>
      </c>
      <c r="S31" s="34"/>
      <c r="T31" s="34"/>
      <c r="U31" s="34">
        <v>4</v>
      </c>
      <c r="V31" s="34"/>
      <c r="W31" s="34">
        <v>4</v>
      </c>
      <c r="X31" s="7">
        <f>SUM(G31:W31)</f>
        <v>18.560000000000002</v>
      </c>
      <c r="Z31" s="6"/>
    </row>
    <row r="32" spans="3:26" x14ac:dyDescent="0.2">
      <c r="C32" s="91"/>
      <c r="D32" s="86">
        <v>10</v>
      </c>
      <c r="E32" s="86" t="s">
        <v>118</v>
      </c>
      <c r="F32" s="86">
        <v>72220</v>
      </c>
      <c r="G32" s="68"/>
      <c r="H32" s="68"/>
      <c r="I32" s="68" t="s">
        <v>89</v>
      </c>
      <c r="J32" s="68"/>
      <c r="K32" s="68"/>
      <c r="L32" s="68" t="s">
        <v>88</v>
      </c>
      <c r="M32" s="68"/>
      <c r="N32" s="68"/>
      <c r="O32" s="68" t="s">
        <v>77</v>
      </c>
      <c r="P32" s="68"/>
      <c r="Q32" s="68"/>
      <c r="R32" s="68"/>
      <c r="S32" s="68" t="s">
        <v>58</v>
      </c>
      <c r="T32" s="68"/>
      <c r="U32" s="68"/>
      <c r="V32" s="68" t="s">
        <v>65</v>
      </c>
      <c r="W32" s="68"/>
      <c r="Z32" s="6"/>
    </row>
    <row r="33" spans="3:26" x14ac:dyDescent="0.2">
      <c r="C33" s="91"/>
      <c r="D33" s="86"/>
      <c r="E33" s="86"/>
      <c r="F33" s="86"/>
      <c r="G33" s="68"/>
      <c r="H33" s="68"/>
      <c r="I33" s="68" t="s">
        <v>102</v>
      </c>
      <c r="J33" s="68"/>
      <c r="K33" s="68"/>
      <c r="L33" s="68" t="s">
        <v>95</v>
      </c>
      <c r="M33" s="68"/>
      <c r="N33" s="68"/>
      <c r="O33" s="68" t="s">
        <v>102</v>
      </c>
      <c r="P33" s="68"/>
      <c r="Q33" s="68"/>
      <c r="R33" s="68"/>
      <c r="S33" s="68" t="s">
        <v>90</v>
      </c>
      <c r="T33" s="68"/>
      <c r="U33" s="68"/>
      <c r="V33" s="68" t="s">
        <v>95</v>
      </c>
      <c r="W33" s="68"/>
      <c r="Z33" s="6"/>
    </row>
    <row r="34" spans="3:26" x14ac:dyDescent="0.2">
      <c r="C34" s="91"/>
      <c r="D34" s="86"/>
      <c r="E34" s="86"/>
      <c r="F34" s="86"/>
      <c r="G34" s="68"/>
      <c r="H34" s="68"/>
      <c r="I34" s="68">
        <v>3.21</v>
      </c>
      <c r="J34" s="68"/>
      <c r="K34" s="68"/>
      <c r="L34" s="68">
        <v>2.81</v>
      </c>
      <c r="M34" s="68"/>
      <c r="N34" s="68"/>
      <c r="O34" s="68">
        <v>4</v>
      </c>
      <c r="P34" s="68"/>
      <c r="Q34" s="68"/>
      <c r="R34" s="68"/>
      <c r="S34" s="68">
        <v>4</v>
      </c>
      <c r="T34" s="68"/>
      <c r="U34" s="68"/>
      <c r="V34" s="68">
        <v>2.81</v>
      </c>
      <c r="W34" s="68"/>
      <c r="X34" s="7">
        <f>SUM(G34:W34)</f>
        <v>16.829999999999998</v>
      </c>
      <c r="Z34" s="6"/>
    </row>
    <row r="35" spans="3:26" x14ac:dyDescent="0.2">
      <c r="C35" s="91"/>
      <c r="D35" s="86">
        <v>11</v>
      </c>
      <c r="E35" s="86" t="s">
        <v>119</v>
      </c>
      <c r="F35" s="86">
        <v>76640</v>
      </c>
      <c r="G35" s="68"/>
      <c r="H35" s="68"/>
      <c r="I35" s="68"/>
      <c r="J35" s="68"/>
      <c r="K35" s="68" t="s">
        <v>64</v>
      </c>
      <c r="L35" s="68"/>
      <c r="M35" s="68"/>
      <c r="N35" s="68" t="s">
        <v>70</v>
      </c>
      <c r="O35" s="68"/>
      <c r="P35" s="68"/>
      <c r="Q35" s="68" t="s">
        <v>64</v>
      </c>
      <c r="R35" s="68"/>
      <c r="S35" s="68"/>
      <c r="T35" s="68" t="s">
        <v>77</v>
      </c>
      <c r="U35" s="68"/>
      <c r="V35" s="68"/>
      <c r="W35" s="68" t="s">
        <v>78</v>
      </c>
      <c r="Z35" s="6"/>
    </row>
    <row r="36" spans="3:26" x14ac:dyDescent="0.2">
      <c r="C36" s="91"/>
      <c r="D36" s="86"/>
      <c r="E36" s="86"/>
      <c r="F36" s="86"/>
      <c r="G36" s="68"/>
      <c r="H36" s="68"/>
      <c r="I36" s="68"/>
      <c r="J36" s="68"/>
      <c r="K36" s="68" t="s">
        <v>76</v>
      </c>
      <c r="L36" s="68"/>
      <c r="M36" s="68"/>
      <c r="N36" s="68" t="s">
        <v>100</v>
      </c>
      <c r="O36" s="68"/>
      <c r="P36" s="68"/>
      <c r="Q36" s="68" t="s">
        <v>92</v>
      </c>
      <c r="R36" s="68"/>
      <c r="S36" s="68"/>
      <c r="T36" s="68" t="s">
        <v>89</v>
      </c>
      <c r="U36" s="68"/>
      <c r="V36" s="68"/>
      <c r="W36" s="68" t="s">
        <v>87</v>
      </c>
      <c r="Z36" s="6"/>
    </row>
    <row r="37" spans="3:26" x14ac:dyDescent="0.2">
      <c r="C37" s="91"/>
      <c r="D37" s="86"/>
      <c r="E37" s="86"/>
      <c r="F37" s="86"/>
      <c r="G37" s="68"/>
      <c r="H37" s="68"/>
      <c r="I37" s="68"/>
      <c r="J37" s="68"/>
      <c r="K37" s="68">
        <v>4</v>
      </c>
      <c r="L37" s="68"/>
      <c r="M37" s="68"/>
      <c r="N37" s="68">
        <v>2.67</v>
      </c>
      <c r="O37" s="68"/>
      <c r="P37" s="68"/>
      <c r="Q37" s="68">
        <v>4</v>
      </c>
      <c r="R37" s="68"/>
      <c r="S37" s="68"/>
      <c r="T37" s="68">
        <v>3.21</v>
      </c>
      <c r="U37" s="68"/>
      <c r="V37" s="68"/>
      <c r="W37" s="68">
        <v>4</v>
      </c>
      <c r="X37" s="7">
        <f>SUM(G37:W37)</f>
        <v>17.88</v>
      </c>
      <c r="Z37" s="6"/>
    </row>
    <row r="38" spans="3:26" x14ac:dyDescent="0.2">
      <c r="C38" s="91"/>
      <c r="D38" s="86">
        <v>12</v>
      </c>
      <c r="E38" s="86" t="s">
        <v>120</v>
      </c>
      <c r="F38" s="86">
        <v>70240</v>
      </c>
      <c r="G38" s="68"/>
      <c r="H38" s="68"/>
      <c r="I38" s="68" t="s">
        <v>61</v>
      </c>
      <c r="J38" s="68"/>
      <c r="K38" s="68"/>
      <c r="L38" s="68" t="s">
        <v>65</v>
      </c>
      <c r="M38" s="68"/>
      <c r="N38" s="68"/>
      <c r="O38" s="68"/>
      <c r="P38" s="68"/>
      <c r="Q38" s="68"/>
      <c r="R38" s="68" t="s">
        <v>80</v>
      </c>
      <c r="S38" s="68"/>
      <c r="T38" s="68"/>
      <c r="U38" s="68" t="s">
        <v>63</v>
      </c>
      <c r="V38" s="68"/>
      <c r="W38" s="68" t="s">
        <v>58</v>
      </c>
      <c r="Z38" s="6"/>
    </row>
    <row r="39" spans="3:26" x14ac:dyDescent="0.2">
      <c r="C39" s="91"/>
      <c r="D39" s="86"/>
      <c r="E39" s="86"/>
      <c r="F39" s="86"/>
      <c r="G39" s="68"/>
      <c r="H39" s="68"/>
      <c r="I39" s="68" t="s">
        <v>77</v>
      </c>
      <c r="J39" s="68"/>
      <c r="K39" s="68"/>
      <c r="L39" s="68" t="s">
        <v>80</v>
      </c>
      <c r="M39" s="68"/>
      <c r="N39" s="68"/>
      <c r="O39" s="68"/>
      <c r="P39" s="68"/>
      <c r="Q39" s="68"/>
      <c r="R39" s="68" t="s">
        <v>95</v>
      </c>
      <c r="S39" s="68"/>
      <c r="T39" s="68"/>
      <c r="U39" s="68" t="s">
        <v>103</v>
      </c>
      <c r="V39" s="68"/>
      <c r="W39" s="68" t="s">
        <v>104</v>
      </c>
      <c r="Z39" s="6"/>
    </row>
    <row r="40" spans="3:26" x14ac:dyDescent="0.2">
      <c r="C40" s="91"/>
      <c r="D40" s="86"/>
      <c r="E40" s="86"/>
      <c r="F40" s="86"/>
      <c r="G40" s="68"/>
      <c r="H40" s="68"/>
      <c r="I40" s="68">
        <v>4</v>
      </c>
      <c r="J40" s="68"/>
      <c r="K40" s="68"/>
      <c r="L40" s="68">
        <v>4</v>
      </c>
      <c r="M40" s="68"/>
      <c r="N40" s="68"/>
      <c r="O40" s="68"/>
      <c r="P40" s="68"/>
      <c r="Q40" s="68"/>
      <c r="R40" s="68">
        <v>2.81</v>
      </c>
      <c r="S40" s="68"/>
      <c r="T40" s="68"/>
      <c r="U40" s="68">
        <v>3.35</v>
      </c>
      <c r="V40" s="68"/>
      <c r="W40" s="68">
        <v>2.58</v>
      </c>
      <c r="X40" s="7">
        <f>SUM(G40:W40)</f>
        <v>16.740000000000002</v>
      </c>
      <c r="Z40" s="6"/>
    </row>
    <row r="41" spans="3:26" x14ac:dyDescent="0.2">
      <c r="C41" s="91"/>
      <c r="D41" s="86">
        <v>13</v>
      </c>
      <c r="E41" s="86" t="s">
        <v>121</v>
      </c>
      <c r="F41" s="86">
        <v>67518</v>
      </c>
      <c r="G41" s="34"/>
      <c r="H41" s="34"/>
      <c r="I41" s="34"/>
      <c r="J41" s="34"/>
      <c r="K41" s="34" t="s">
        <v>66</v>
      </c>
      <c r="L41" s="34"/>
      <c r="M41" s="34"/>
      <c r="N41" s="34"/>
      <c r="O41" s="34" t="s">
        <v>72</v>
      </c>
      <c r="P41" s="34"/>
      <c r="Q41" s="34"/>
      <c r="R41" s="34"/>
      <c r="S41" s="34"/>
      <c r="T41" s="34" t="s">
        <v>67</v>
      </c>
      <c r="U41" s="34"/>
      <c r="V41" s="34" t="s">
        <v>68</v>
      </c>
      <c r="W41" s="34"/>
      <c r="Z41" s="6"/>
    </row>
    <row r="42" spans="3:26" x14ac:dyDescent="0.2">
      <c r="C42" s="91"/>
      <c r="D42" s="86"/>
      <c r="E42" s="86"/>
      <c r="F42" s="86"/>
      <c r="G42" s="34"/>
      <c r="H42" s="34"/>
      <c r="I42" s="34"/>
      <c r="J42" s="34"/>
      <c r="K42" s="34" t="s">
        <v>68</v>
      </c>
      <c r="L42" s="34"/>
      <c r="M42" s="34"/>
      <c r="N42" s="34"/>
      <c r="O42" s="34" t="s">
        <v>86</v>
      </c>
      <c r="P42" s="34"/>
      <c r="Q42" s="34"/>
      <c r="R42" s="34"/>
      <c r="S42" s="34"/>
      <c r="T42" s="34" t="s">
        <v>81</v>
      </c>
      <c r="U42" s="34"/>
      <c r="V42" s="34" t="s">
        <v>93</v>
      </c>
      <c r="W42" s="34"/>
      <c r="Z42" s="6"/>
    </row>
    <row r="43" spans="3:26" x14ac:dyDescent="0.2">
      <c r="C43" s="91"/>
      <c r="D43" s="86"/>
      <c r="E43" s="86"/>
      <c r="F43" s="86"/>
      <c r="G43" s="34"/>
      <c r="H43" s="34"/>
      <c r="I43" s="34"/>
      <c r="J43" s="34"/>
      <c r="K43" s="34">
        <v>4</v>
      </c>
      <c r="L43" s="34"/>
      <c r="M43" s="34"/>
      <c r="N43" s="34"/>
      <c r="O43" s="34">
        <v>2.85</v>
      </c>
      <c r="P43" s="34"/>
      <c r="Q43" s="34"/>
      <c r="R43" s="34"/>
      <c r="S43" s="34"/>
      <c r="T43" s="34">
        <v>3.61</v>
      </c>
      <c r="U43" s="34"/>
      <c r="V43" s="34">
        <v>4</v>
      </c>
      <c r="W43" s="34"/>
      <c r="X43" s="7">
        <f>SUM(G43:W43)</f>
        <v>14.459999999999999</v>
      </c>
      <c r="Z43" s="6"/>
    </row>
    <row r="44" spans="3:26" x14ac:dyDescent="0.2">
      <c r="C44" s="91"/>
      <c r="D44" s="86">
        <v>14</v>
      </c>
      <c r="E44" s="86" t="s">
        <v>123</v>
      </c>
      <c r="F44" s="86">
        <v>69328</v>
      </c>
      <c r="G44" s="68"/>
      <c r="H44" s="68"/>
      <c r="I44" s="68"/>
      <c r="J44" s="68"/>
      <c r="K44" s="68" t="s">
        <v>92</v>
      </c>
      <c r="L44" s="68"/>
      <c r="M44" s="68"/>
      <c r="N44" s="68"/>
      <c r="O44" s="68"/>
      <c r="P44" s="68"/>
      <c r="Q44" s="68" t="s">
        <v>76</v>
      </c>
      <c r="R44" s="68"/>
      <c r="S44" s="68"/>
      <c r="T44" s="68" t="s">
        <v>61</v>
      </c>
      <c r="U44" s="68"/>
      <c r="V44" s="68"/>
      <c r="W44" s="68" t="s">
        <v>62</v>
      </c>
      <c r="Z44" s="6"/>
    </row>
    <row r="45" spans="3:26" x14ac:dyDescent="0.2">
      <c r="C45" s="91"/>
      <c r="D45" s="86"/>
      <c r="E45" s="86"/>
      <c r="F45" s="86"/>
      <c r="G45" s="34"/>
      <c r="H45" s="34"/>
      <c r="I45" s="34"/>
      <c r="J45" s="34"/>
      <c r="K45" s="34" t="s">
        <v>98</v>
      </c>
      <c r="L45" s="34"/>
      <c r="M45" s="34"/>
      <c r="N45" s="34"/>
      <c r="O45" s="34"/>
      <c r="P45" s="34"/>
      <c r="Q45" s="34" t="s">
        <v>98</v>
      </c>
      <c r="R45" s="34"/>
      <c r="S45" s="34"/>
      <c r="T45" s="34" t="s">
        <v>102</v>
      </c>
      <c r="U45" s="34"/>
      <c r="V45" s="34"/>
      <c r="W45" s="34" t="s">
        <v>96</v>
      </c>
      <c r="Z45" s="6"/>
    </row>
    <row r="46" spans="3:26" x14ac:dyDescent="0.2">
      <c r="C46" s="91"/>
      <c r="D46" s="86"/>
      <c r="E46" s="86"/>
      <c r="F46" s="86"/>
      <c r="G46" s="34"/>
      <c r="H46" s="34"/>
      <c r="I46" s="34"/>
      <c r="J46" s="34"/>
      <c r="K46" s="34">
        <v>4</v>
      </c>
      <c r="L46" s="34"/>
      <c r="M46" s="34"/>
      <c r="N46" s="34"/>
      <c r="O46" s="34"/>
      <c r="P46" s="34"/>
      <c r="Q46" s="34">
        <v>4</v>
      </c>
      <c r="R46" s="34"/>
      <c r="S46" s="34"/>
      <c r="T46" s="34">
        <v>4</v>
      </c>
      <c r="U46" s="34"/>
      <c r="V46" s="34"/>
      <c r="W46" s="34">
        <v>4</v>
      </c>
      <c r="X46" s="7">
        <f>SUM(G46:W46)</f>
        <v>16</v>
      </c>
      <c r="Z46" s="6"/>
    </row>
    <row r="47" spans="3:26" x14ac:dyDescent="0.2">
      <c r="C47" s="91"/>
      <c r="D47" s="86">
        <v>15</v>
      </c>
      <c r="E47" s="86" t="s">
        <v>124</v>
      </c>
      <c r="F47" s="86">
        <v>70909</v>
      </c>
      <c r="G47" s="34"/>
      <c r="H47" s="34"/>
      <c r="I47" s="34" t="s">
        <v>81</v>
      </c>
      <c r="J47" s="68"/>
      <c r="K47" s="34"/>
      <c r="L47" s="34" t="s">
        <v>91</v>
      </c>
      <c r="M47" s="34"/>
      <c r="N47" s="34"/>
      <c r="O47" s="34" t="s">
        <v>69</v>
      </c>
      <c r="P47" s="34"/>
      <c r="Q47" s="34"/>
      <c r="R47" s="34" t="s">
        <v>79</v>
      </c>
      <c r="S47" s="34"/>
      <c r="T47" s="34"/>
      <c r="U47" s="34" t="s">
        <v>69</v>
      </c>
      <c r="V47" s="34"/>
      <c r="W47" s="34"/>
      <c r="Z47" s="6"/>
    </row>
    <row r="48" spans="3:26" x14ac:dyDescent="0.2">
      <c r="C48" s="91"/>
      <c r="D48" s="86"/>
      <c r="E48" s="86"/>
      <c r="F48" s="86"/>
      <c r="G48" s="34"/>
      <c r="H48" s="34"/>
      <c r="I48" s="34" t="s">
        <v>94</v>
      </c>
      <c r="J48" s="34"/>
      <c r="K48" s="34"/>
      <c r="L48" s="34" t="s">
        <v>101</v>
      </c>
      <c r="M48" s="34"/>
      <c r="N48" s="34"/>
      <c r="O48" s="34" t="s">
        <v>99</v>
      </c>
      <c r="P48" s="34"/>
      <c r="Q48" s="34"/>
      <c r="R48" s="34" t="s">
        <v>101</v>
      </c>
      <c r="S48" s="34"/>
      <c r="T48" s="34"/>
      <c r="U48" s="34" t="s">
        <v>86</v>
      </c>
      <c r="V48" s="34"/>
      <c r="W48" s="34"/>
      <c r="Z48" s="6"/>
    </row>
    <row r="49" spans="3:26" x14ac:dyDescent="0.2">
      <c r="C49" s="91"/>
      <c r="D49" s="86"/>
      <c r="E49" s="86"/>
      <c r="F49" s="86"/>
      <c r="G49" s="34"/>
      <c r="H49" s="34"/>
      <c r="I49" s="34">
        <v>1.97</v>
      </c>
      <c r="J49" s="34"/>
      <c r="K49" s="34"/>
      <c r="L49" s="34">
        <v>4</v>
      </c>
      <c r="M49" s="34"/>
      <c r="N49" s="34"/>
      <c r="O49" s="34">
        <v>4</v>
      </c>
      <c r="P49" s="34"/>
      <c r="Q49" s="34"/>
      <c r="R49" s="34">
        <v>4</v>
      </c>
      <c r="S49" s="34"/>
      <c r="T49" s="34"/>
      <c r="U49" s="34">
        <v>2.85</v>
      </c>
      <c r="V49" s="34"/>
      <c r="W49" s="34"/>
      <c r="X49" s="7">
        <f>SUM(G49:W49)</f>
        <v>16.82</v>
      </c>
      <c r="Z49" s="6"/>
    </row>
    <row r="50" spans="3:26" x14ac:dyDescent="0.2">
      <c r="C50" s="91"/>
      <c r="D50" s="86">
        <v>16</v>
      </c>
      <c r="E50" s="86" t="s">
        <v>125</v>
      </c>
      <c r="F50" s="86">
        <v>69000</v>
      </c>
      <c r="G50" s="68"/>
      <c r="H50" s="68"/>
      <c r="I50" s="68"/>
      <c r="J50" s="34"/>
      <c r="K50" s="68"/>
      <c r="L50" s="68" t="s">
        <v>60</v>
      </c>
      <c r="M50" s="68"/>
      <c r="N50" s="68"/>
      <c r="O50" s="68"/>
      <c r="P50" s="68" t="s">
        <v>71</v>
      </c>
      <c r="Q50" s="68"/>
      <c r="R50" s="68"/>
      <c r="S50" s="68"/>
      <c r="T50" s="68"/>
      <c r="U50" s="68" t="s">
        <v>59</v>
      </c>
      <c r="V50" s="68"/>
      <c r="W50" s="68" t="s">
        <v>79</v>
      </c>
      <c r="Z50" s="6"/>
    </row>
    <row r="51" spans="3:26" x14ac:dyDescent="0.2">
      <c r="C51" s="91"/>
      <c r="D51" s="86"/>
      <c r="E51" s="86"/>
      <c r="F51" s="86"/>
      <c r="G51" s="68"/>
      <c r="H51" s="68"/>
      <c r="I51" s="68"/>
      <c r="J51" s="68"/>
      <c r="K51" s="68"/>
      <c r="L51" s="68" t="s">
        <v>79</v>
      </c>
      <c r="M51" s="68"/>
      <c r="N51" s="68"/>
      <c r="O51" s="68"/>
      <c r="P51" s="68" t="s">
        <v>103</v>
      </c>
      <c r="Q51" s="68"/>
      <c r="R51" s="68"/>
      <c r="S51" s="68"/>
      <c r="T51" s="68"/>
      <c r="U51" s="68" t="s">
        <v>105</v>
      </c>
      <c r="V51" s="68"/>
      <c r="W51" s="68" t="s">
        <v>91</v>
      </c>
      <c r="Z51" s="6"/>
    </row>
    <row r="52" spans="3:26" x14ac:dyDescent="0.2">
      <c r="C52" s="91"/>
      <c r="D52" s="86"/>
      <c r="E52" s="86"/>
      <c r="F52" s="86"/>
      <c r="G52" s="68"/>
      <c r="H52" s="68"/>
      <c r="I52" s="68"/>
      <c r="J52" s="68"/>
      <c r="K52" s="68"/>
      <c r="L52" s="68">
        <v>4</v>
      </c>
      <c r="M52" s="68"/>
      <c r="N52" s="68"/>
      <c r="O52" s="68"/>
      <c r="P52" s="68">
        <v>3.35</v>
      </c>
      <c r="Q52" s="68"/>
      <c r="R52" s="68"/>
      <c r="S52" s="68"/>
      <c r="T52" s="68"/>
      <c r="U52" s="68">
        <v>3.89</v>
      </c>
      <c r="V52" s="68"/>
      <c r="W52" s="68">
        <v>4</v>
      </c>
      <c r="X52" s="7">
        <f>SUM(G52:W52)</f>
        <v>15.24</v>
      </c>
      <c r="Z52" s="6"/>
    </row>
    <row r="53" spans="3:26" x14ac:dyDescent="0.2">
      <c r="C53" s="91"/>
      <c r="D53" s="33"/>
      <c r="E53" s="33"/>
      <c r="F53" s="33"/>
      <c r="G53" s="22"/>
      <c r="H53" s="22"/>
      <c r="I53" s="22"/>
      <c r="J53" s="22"/>
      <c r="K53" s="22"/>
      <c r="L53" s="22"/>
      <c r="M53" s="11"/>
      <c r="N53" s="22"/>
      <c r="O53" s="22"/>
      <c r="P53" s="22"/>
      <c r="Q53" s="11"/>
      <c r="R53" s="22"/>
      <c r="S53" s="22"/>
      <c r="T53" s="22"/>
      <c r="U53" s="11"/>
      <c r="V53" s="22"/>
      <c r="W53" s="22"/>
      <c r="X53" s="11"/>
      <c r="Y53" s="11"/>
      <c r="Z53" s="6"/>
    </row>
    <row r="54" spans="3:26" ht="17" thickBot="1" x14ac:dyDescent="0.25"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6"/>
    </row>
  </sheetData>
  <mergeCells count="65">
    <mergeCell ref="F14:F16"/>
    <mergeCell ref="F17:F19"/>
    <mergeCell ref="E50:E52"/>
    <mergeCell ref="F50:F52"/>
    <mergeCell ref="D50:D52"/>
    <mergeCell ref="F32:F34"/>
    <mergeCell ref="F35:F37"/>
    <mergeCell ref="F38:F40"/>
    <mergeCell ref="F41:F43"/>
    <mergeCell ref="F44:F46"/>
    <mergeCell ref="F47:F49"/>
    <mergeCell ref="D47:D49"/>
    <mergeCell ref="F20:F22"/>
    <mergeCell ref="F23:F25"/>
    <mergeCell ref="F26:F28"/>
    <mergeCell ref="F29:F31"/>
    <mergeCell ref="C50:C53"/>
    <mergeCell ref="D20:D22"/>
    <mergeCell ref="D23:D25"/>
    <mergeCell ref="D26:D28"/>
    <mergeCell ref="C41:C43"/>
    <mergeCell ref="C32:C34"/>
    <mergeCell ref="C23:C25"/>
    <mergeCell ref="E41:E43"/>
    <mergeCell ref="C44:C46"/>
    <mergeCell ref="E44:E46"/>
    <mergeCell ref="C47:C49"/>
    <mergeCell ref="E47:E49"/>
    <mergeCell ref="D41:D43"/>
    <mergeCell ref="D44:D46"/>
    <mergeCell ref="E32:E34"/>
    <mergeCell ref="C35:C37"/>
    <mergeCell ref="E35:E37"/>
    <mergeCell ref="C38:C40"/>
    <mergeCell ref="E38:E40"/>
    <mergeCell ref="D32:D34"/>
    <mergeCell ref="D35:D37"/>
    <mergeCell ref="D38:D40"/>
    <mergeCell ref="E23:E25"/>
    <mergeCell ref="C26:C28"/>
    <mergeCell ref="E26:E28"/>
    <mergeCell ref="C29:C31"/>
    <mergeCell ref="E29:E31"/>
    <mergeCell ref="D29:D31"/>
    <mergeCell ref="C14:C16"/>
    <mergeCell ref="E14:E16"/>
    <mergeCell ref="C17:C19"/>
    <mergeCell ref="E17:E19"/>
    <mergeCell ref="C20:C22"/>
    <mergeCell ref="E20:E22"/>
    <mergeCell ref="D14:D16"/>
    <mergeCell ref="D17:D19"/>
    <mergeCell ref="C11:C13"/>
    <mergeCell ref="E11:E13"/>
    <mergeCell ref="H3:W3"/>
    <mergeCell ref="C5:C7"/>
    <mergeCell ref="E5:E7"/>
    <mergeCell ref="C8:C10"/>
    <mergeCell ref="E8:E10"/>
    <mergeCell ref="D5:D7"/>
    <mergeCell ref="D8:D10"/>
    <mergeCell ref="D11:D13"/>
    <mergeCell ref="F5:F7"/>
    <mergeCell ref="F8:F10"/>
    <mergeCell ref="F11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2718-B430-F446-A1AC-CCEFC73EB72F}">
  <dimension ref="A1"/>
  <sheetViews>
    <sheetView workbookViewId="0">
      <selection activeCell="H22" sqref="H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Teams(Raw)</vt:lpstr>
      <vt:lpstr>Teams</vt:lpstr>
      <vt:lpstr>Stadiums</vt:lpstr>
      <vt:lpstr>gi value calculation</vt:lpstr>
      <vt:lpstr>Prototype_schedule(Table-2)</vt:lpstr>
      <vt:lpstr>Spectator Index(Table-3)</vt:lpstr>
      <vt:lpstr>Group Formation(Table-4)</vt:lpstr>
      <vt:lpstr>Group_letter_assignment</vt:lpstr>
      <vt:lpstr>original schedule</vt:lpstr>
      <vt:lpstr>Group_schedule(Table-5)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BHANDARKAR, UDAYA (PGT)</dc:creator>
  <cp:lastModifiedBy>BOPPARAJU, DYUTHI (PGT)</cp:lastModifiedBy>
  <dcterms:created xsi:type="dcterms:W3CDTF">2026-02-22T17:19:06Z</dcterms:created>
  <dcterms:modified xsi:type="dcterms:W3CDTF">2026-03-12T02:46:59Z</dcterms:modified>
</cp:coreProperties>
</file>